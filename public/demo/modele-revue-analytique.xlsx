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ue analytique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'Revue analytique'!$A$4:$I$304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;-# 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9A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F3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</cols>
  <sheetData>
    <row r="1">
      <c r="A1" t="inlineStr">
        <is>
          <t>Seuil de signification (€)</t>
        </is>
      </c>
      <c r="B1" s="1" t="n">
        <v>50000</v>
      </c>
      <c r="D1" t="inlineStr">
        <is>
          <t>Collez votre balance à partir de la ligne 5 (colonnes A à F). Les colonnes G à I se calculent seules.</t>
        </is>
      </c>
    </row>
    <row r="2">
      <c r="A2" t="inlineStr">
        <is>
          <t>Dossier</t>
        </is>
      </c>
      <c r="B2" s="1" t="inlineStr">
        <is>
          <t>[Nom du dossier]</t>
        </is>
      </c>
    </row>
    <row r="4">
      <c r="A4" s="2" t="inlineStr">
        <is>
          <t>Compte</t>
        </is>
      </c>
      <c r="B4" s="2" t="inlineStr">
        <is>
          <t>Libellé</t>
        </is>
      </c>
      <c r="C4" s="2" t="inlineStr">
        <is>
          <t>Débit N</t>
        </is>
      </c>
      <c r="D4" s="2" t="inlineStr">
        <is>
          <t>Crédit N</t>
        </is>
      </c>
      <c r="E4" s="2" t="inlineStr">
        <is>
          <t>Débit N-1</t>
        </is>
      </c>
      <c r="F4" s="2" t="inlineStr">
        <is>
          <t>Crédit N-1</t>
        </is>
      </c>
      <c r="G4" s="2" t="inlineStr">
        <is>
          <t>Écart (€)</t>
        </is>
      </c>
      <c r="H4" s="2" t="inlineStr">
        <is>
          <t>Écart (%)</t>
        </is>
      </c>
      <c r="I4" s="2" t="inlineStr">
        <is>
          <t>À creuser</t>
        </is>
      </c>
    </row>
    <row r="5">
      <c r="A5" t="inlineStr">
        <is>
          <t>101300</t>
        </is>
      </c>
      <c r="B5" t="inlineStr">
        <is>
          <t>Capital souscrit, appelé, versé</t>
        </is>
      </c>
      <c r="D5" t="n">
        <v>500000</v>
      </c>
      <c r="F5" t="n">
        <v>500000</v>
      </c>
      <c r="G5" s="3">
        <f>IF(A5="","",(C5-D5)-(E5-F5))</f>
        <v/>
      </c>
      <c r="H5" s="4">
        <f>IF(OR(A5="",(E5-F5)=0),"",G5/ABS(E5-F5))</f>
        <v/>
      </c>
      <c r="I5">
        <f>IF(A5="","",IF(ABS(G5)&gt;=$B$1,"Oui",""))</f>
        <v/>
      </c>
    </row>
    <row r="6">
      <c r="A6" t="inlineStr">
        <is>
          <t>106100</t>
        </is>
      </c>
      <c r="B6" t="inlineStr">
        <is>
          <t>Réserve légale</t>
        </is>
      </c>
      <c r="D6" t="n">
        <v>50000</v>
      </c>
      <c r="F6" t="n">
        <v>50000</v>
      </c>
      <c r="G6" s="3">
        <f>IF(A6="","",(C6-D6)-(E6-F6))</f>
        <v/>
      </c>
      <c r="H6" s="4">
        <f>IF(OR(A6="",(E6-F6)=0),"",G6/ABS(E6-F6))</f>
        <v/>
      </c>
      <c r="I6">
        <f>IF(A6="","",IF(ABS(G6)&gt;=$B$1,"Oui",""))</f>
        <v/>
      </c>
    </row>
    <row r="7">
      <c r="A7" t="inlineStr">
        <is>
          <t>106800</t>
        </is>
      </c>
      <c r="B7" t="inlineStr">
        <is>
          <t>Autres réserves</t>
        </is>
      </c>
      <c r="D7" t="n">
        <v>1707600</v>
      </c>
      <c r="F7" t="n">
        <v>1550000</v>
      </c>
      <c r="G7" s="3">
        <f>IF(A7="","",(C7-D7)-(E7-F7))</f>
        <v/>
      </c>
      <c r="H7" s="4">
        <f>IF(OR(A7="",(E7-F7)=0),"",G7/ABS(E7-F7))</f>
        <v/>
      </c>
      <c r="I7">
        <f>IF(A7="","",IF(ABS(G7)&gt;=$B$1,"Oui",""))</f>
        <v/>
      </c>
    </row>
    <row r="8">
      <c r="A8" t="inlineStr">
        <is>
          <t>151100</t>
        </is>
      </c>
      <c r="B8" t="inlineStr">
        <is>
          <t>Provisions pour litiges</t>
        </is>
      </c>
      <c r="D8" t="n">
        <v>45000</v>
      </c>
      <c r="F8" t="n">
        <v>45000</v>
      </c>
      <c r="G8" s="3">
        <f>IF(A8="","",(C8-D8)-(E8-F8))</f>
        <v/>
      </c>
      <c r="H8" s="4">
        <f>IF(OR(A8="",(E8-F8)=0),"",G8/ABS(E8-F8))</f>
        <v/>
      </c>
      <c r="I8">
        <f>IF(A8="","",IF(ABS(G8)&gt;=$B$1,"Oui",""))</f>
        <v/>
      </c>
    </row>
    <row r="9">
      <c r="A9" t="inlineStr">
        <is>
          <t>164000</t>
        </is>
      </c>
      <c r="B9" t="inlineStr">
        <is>
          <t>Emprunt Banque Littorale des Flandres n° 4471</t>
        </is>
      </c>
      <c r="D9" t="n">
        <v>880000</v>
      </c>
      <c r="F9" t="n">
        <v>380000</v>
      </c>
      <c r="G9" s="3">
        <f>IF(A9="","",(C9-D9)-(E9-F9))</f>
        <v/>
      </c>
      <c r="H9" s="4">
        <f>IF(OR(A9="",(E9-F9)=0),"",G9/ABS(E9-F9))</f>
        <v/>
      </c>
      <c r="I9">
        <f>IF(A9="","",IF(ABS(G9)&gt;=$B$1,"Oui",""))</f>
        <v/>
      </c>
    </row>
    <row r="10">
      <c r="A10" t="inlineStr">
        <is>
          <t>168840</t>
        </is>
      </c>
      <c r="B10" t="inlineStr">
        <is>
          <t>Intérêts courus sur emprunts</t>
        </is>
      </c>
      <c r="D10" t="n">
        <v>4600</v>
      </c>
      <c r="F10" t="n">
        <v>2100</v>
      </c>
      <c r="G10" s="3">
        <f>IF(A10="","",(C10-D10)-(E10-F10))</f>
        <v/>
      </c>
      <c r="H10" s="4">
        <f>IF(OR(A10="",(E10-F10)=0),"",G10/ABS(E10-F10))</f>
        <v/>
      </c>
      <c r="I10">
        <f>IF(A10="","",IF(ABS(G10)&gt;=$B$1,"Oui",""))</f>
        <v/>
      </c>
    </row>
    <row r="11">
      <c r="A11" t="inlineStr">
        <is>
          <t>213500</t>
        </is>
      </c>
      <c r="B11" t="inlineStr">
        <is>
          <t>Installations générales, agencements</t>
        </is>
      </c>
      <c r="C11" t="n">
        <v>410000</v>
      </c>
      <c r="E11" t="n">
        <v>410000</v>
      </c>
      <c r="G11" s="3">
        <f>IF(A11="","",(C11-D11)-(E11-F11))</f>
        <v/>
      </c>
      <c r="H11" s="4">
        <f>IF(OR(A11="",(E11-F11)=0),"",G11/ABS(E11-F11))</f>
        <v/>
      </c>
      <c r="I11">
        <f>IF(A11="","",IF(ABS(G11)&gt;=$B$1,"Oui",""))</f>
        <v/>
      </c>
    </row>
    <row r="12">
      <c r="A12" t="inlineStr">
        <is>
          <t>215400</t>
        </is>
      </c>
      <c r="B12" t="inlineStr">
        <is>
          <t>Matériel industriel (rayonnages, chariots)</t>
        </is>
      </c>
      <c r="C12" t="n">
        <v>1140000</v>
      </c>
      <c r="E12" t="n">
        <v>520000</v>
      </c>
      <c r="G12" s="3">
        <f>IF(A12="","",(C12-D12)-(E12-F12))</f>
        <v/>
      </c>
      <c r="H12" s="4">
        <f>IF(OR(A12="",(E12-F12)=0),"",G12/ABS(E12-F12))</f>
        <v/>
      </c>
      <c r="I12">
        <f>IF(A12="","",IF(ABS(G12)&gt;=$B$1,"Oui",""))</f>
        <v/>
      </c>
    </row>
    <row r="13">
      <c r="A13" t="inlineStr">
        <is>
          <t>218200</t>
        </is>
      </c>
      <c r="B13" t="inlineStr">
        <is>
          <t>Matériel de transport</t>
        </is>
      </c>
      <c r="C13" t="n">
        <v>286000</v>
      </c>
      <c r="E13" t="n">
        <v>286000</v>
      </c>
      <c r="G13" s="3">
        <f>IF(A13="","",(C13-D13)-(E13-F13))</f>
        <v/>
      </c>
      <c r="H13" s="4">
        <f>IF(OR(A13="",(E13-F13)=0),"",G13/ABS(E13-F13))</f>
        <v/>
      </c>
      <c r="I13">
        <f>IF(A13="","",IF(ABS(G13)&gt;=$B$1,"Oui",""))</f>
        <v/>
      </c>
    </row>
    <row r="14">
      <c r="A14" t="inlineStr">
        <is>
          <t>218300</t>
        </is>
      </c>
      <c r="B14" t="inlineStr">
        <is>
          <t>Matériel de bureau et informatique</t>
        </is>
      </c>
      <c r="C14" t="n">
        <v>163000</v>
      </c>
      <c r="E14" t="n">
        <v>148000</v>
      </c>
      <c r="G14" s="3">
        <f>IF(A14="","",(C14-D14)-(E14-F14))</f>
        <v/>
      </c>
      <c r="H14" s="4">
        <f>IF(OR(A14="",(E14-F14)=0),"",G14/ABS(E14-F14))</f>
        <v/>
      </c>
      <c r="I14">
        <f>IF(A14="","",IF(ABS(G14)&gt;=$B$1,"Oui",""))</f>
        <v/>
      </c>
    </row>
    <row r="15">
      <c r="A15" t="inlineStr">
        <is>
          <t>275000</t>
        </is>
      </c>
      <c r="B15" t="inlineStr">
        <is>
          <t>Dépôts et cautionnements versés</t>
        </is>
      </c>
      <c r="C15" t="n">
        <v>42000</v>
      </c>
      <c r="E15" t="n">
        <v>42000</v>
      </c>
      <c r="G15" s="3">
        <f>IF(A15="","",(C15-D15)-(E15-F15))</f>
        <v/>
      </c>
      <c r="H15" s="4">
        <f>IF(OR(A15="",(E15-F15)=0),"",G15/ABS(E15-F15))</f>
        <v/>
      </c>
      <c r="I15">
        <f>IF(A15="","",IF(ABS(G15)&gt;=$B$1,"Oui",""))</f>
        <v/>
      </c>
    </row>
    <row r="16">
      <c r="A16" t="inlineStr">
        <is>
          <t>281350</t>
        </is>
      </c>
      <c r="B16" t="inlineStr">
        <is>
          <t>Amortissements des agencements</t>
        </is>
      </c>
      <c r="D16" t="n">
        <v>287000</v>
      </c>
      <c r="F16" t="n">
        <v>246000</v>
      </c>
      <c r="G16" s="3">
        <f>IF(A16="","",(C16-D16)-(E16-F16))</f>
        <v/>
      </c>
      <c r="H16" s="4">
        <f>IF(OR(A16="",(E16-F16)=0),"",G16/ABS(E16-F16))</f>
        <v/>
      </c>
      <c r="I16">
        <f>IF(A16="","",IF(ABS(G16)&gt;=$B$1,"Oui",""))</f>
        <v/>
      </c>
    </row>
    <row r="17">
      <c r="A17" t="inlineStr">
        <is>
          <t>281540</t>
        </is>
      </c>
      <c r="B17" t="inlineStr">
        <is>
          <t>Amortissements du matériel industriel</t>
        </is>
      </c>
      <c r="D17" t="n">
        <v>377000</v>
      </c>
      <c r="F17" t="n">
        <v>312000</v>
      </c>
      <c r="G17" s="3">
        <f>IF(A17="","",(C17-D17)-(E17-F17))</f>
        <v/>
      </c>
      <c r="H17" s="4">
        <f>IF(OR(A17="",(E17-F17)=0),"",G17/ABS(E17-F17))</f>
        <v/>
      </c>
      <c r="I17">
        <f>IF(A17="","",IF(ABS(G17)&gt;=$B$1,"Oui",""))</f>
        <v/>
      </c>
    </row>
    <row r="18">
      <c r="A18" t="inlineStr">
        <is>
          <t>281820</t>
        </is>
      </c>
      <c r="B18" t="inlineStr">
        <is>
          <t>Amortissements du matériel de transport</t>
        </is>
      </c>
      <c r="D18" t="n">
        <v>171600</v>
      </c>
      <c r="F18" t="n">
        <v>114400</v>
      </c>
      <c r="G18" s="3">
        <f>IF(A18="","",(C18-D18)-(E18-F18))</f>
        <v/>
      </c>
      <c r="H18" s="4">
        <f>IF(OR(A18="",(E18-F18)=0),"",G18/ABS(E18-F18))</f>
        <v/>
      </c>
      <c r="I18">
        <f>IF(A18="","",IF(ABS(G18)&gt;=$B$1,"Oui",""))</f>
        <v/>
      </c>
    </row>
    <row r="19">
      <c r="A19" t="inlineStr">
        <is>
          <t>281830</t>
        </is>
      </c>
      <c r="B19" t="inlineStr">
        <is>
          <t>Amortissements du matériel de bureau et informatique</t>
        </is>
      </c>
      <c r="D19" t="n">
        <v>127000</v>
      </c>
      <c r="F19" t="n">
        <v>97000</v>
      </c>
      <c r="G19" s="3">
        <f>IF(A19="","",(C19-D19)-(E19-F19))</f>
        <v/>
      </c>
      <c r="H19" s="4">
        <f>IF(OR(A19="",(E19-F19)=0),"",G19/ABS(E19-F19))</f>
        <v/>
      </c>
      <c r="I19">
        <f>IF(A19="","",IF(ABS(G19)&gt;=$B$1,"Oui",""))</f>
        <v/>
      </c>
    </row>
    <row r="20">
      <c r="A20" t="inlineStr">
        <is>
          <t>371000</t>
        </is>
      </c>
      <c r="B20" t="inlineStr">
        <is>
          <t>Stock de marchandises - fournitures de bureau</t>
        </is>
      </c>
      <c r="C20" t="n">
        <v>560000</v>
      </c>
      <c r="E20" t="n">
        <v>520000</v>
      </c>
      <c r="G20" s="3">
        <f>IF(A20="","",(C20-D20)-(E20-F20))</f>
        <v/>
      </c>
      <c r="H20" s="4">
        <f>IF(OR(A20="",(E20-F20)=0),"",G20/ABS(E20-F20))</f>
        <v/>
      </c>
      <c r="I20">
        <f>IF(A20="","",IF(ABS(G20)&gt;=$B$1,"Oui",""))</f>
        <v/>
      </c>
    </row>
    <row r="21">
      <c r="A21" t="inlineStr">
        <is>
          <t>372000</t>
        </is>
      </c>
      <c r="B21" t="inlineStr">
        <is>
          <t>Stock de marchandises - mobilier de bureau</t>
        </is>
      </c>
      <c r="C21" t="n">
        <v>930000</v>
      </c>
      <c r="E21" t="n">
        <v>610000</v>
      </c>
      <c r="G21" s="3">
        <f>IF(A21="","",(C21-D21)-(E21-F21))</f>
        <v/>
      </c>
      <c r="H21" s="4">
        <f>IF(OR(A21="",(E21-F21)=0),"",G21/ABS(E21-F21))</f>
        <v/>
      </c>
      <c r="I21">
        <f>IF(A21="","",IF(ABS(G21)&gt;=$B$1,"Oui",""))</f>
        <v/>
      </c>
    </row>
    <row r="22">
      <c r="A22" t="inlineStr">
        <is>
          <t>373000</t>
        </is>
      </c>
      <c r="B22" t="inlineStr">
        <is>
          <t>Stock de marchandises - consommables informatiques</t>
        </is>
      </c>
      <c r="C22" t="n">
        <v>230000</v>
      </c>
      <c r="E22" t="n">
        <v>210000</v>
      </c>
      <c r="G22" s="3">
        <f>IF(A22="","",(C22-D22)-(E22-F22))</f>
        <v/>
      </c>
      <c r="H22" s="4">
        <f>IF(OR(A22="",(E22-F22)=0),"",G22/ABS(E22-F22))</f>
        <v/>
      </c>
      <c r="I22">
        <f>IF(A22="","",IF(ABS(G22)&gt;=$B$1,"Oui",""))</f>
        <v/>
      </c>
    </row>
    <row r="23">
      <c r="A23" t="inlineStr">
        <is>
          <t>397000</t>
        </is>
      </c>
      <c r="B23" t="inlineStr">
        <is>
          <t>Dépréciations des stocks de marchandises</t>
        </is>
      </c>
      <c r="D23" t="n">
        <v>34000</v>
      </c>
      <c r="F23" t="n">
        <v>34000</v>
      </c>
      <c r="G23" s="3">
        <f>IF(A23="","",(C23-D23)-(E23-F23))</f>
        <v/>
      </c>
      <c r="H23" s="4">
        <f>IF(OR(A23="",(E23-F23)=0),"",G23/ABS(E23-F23))</f>
        <v/>
      </c>
      <c r="I23">
        <f>IF(A23="","",IF(ABS(G23)&gt;=$B$1,"Oui",""))</f>
        <v/>
      </c>
    </row>
    <row r="24">
      <c r="A24" t="inlineStr">
        <is>
          <t>401000</t>
        </is>
      </c>
      <c r="B24" t="inlineStr">
        <is>
          <t>Fournisseurs</t>
        </is>
      </c>
      <c r="D24" t="n">
        <v>1455000</v>
      </c>
      <c r="F24" t="n">
        <v>1420000</v>
      </c>
      <c r="G24" s="3">
        <f>IF(A24="","",(C24-D24)-(E24-F24))</f>
        <v/>
      </c>
      <c r="H24" s="4">
        <f>IF(OR(A24="",(E24-F24)=0),"",G24/ABS(E24-F24))</f>
        <v/>
      </c>
      <c r="I24">
        <f>IF(A24="","",IF(ABS(G24)&gt;=$B$1,"Oui",""))</f>
        <v/>
      </c>
    </row>
    <row r="25">
      <c r="A25" t="inlineStr">
        <is>
          <t>408100</t>
        </is>
      </c>
      <c r="B25" t="inlineStr">
        <is>
          <t>Fournisseurs - factures non parvenues</t>
        </is>
      </c>
      <c r="D25" t="n">
        <v>38000</v>
      </c>
      <c r="F25" t="n">
        <v>214000</v>
      </c>
      <c r="G25" s="3">
        <f>IF(A25="","",(C25-D25)-(E25-F25))</f>
        <v/>
      </c>
      <c r="H25" s="4">
        <f>IF(OR(A25="",(E25-F25)=0),"",G25/ABS(E25-F25))</f>
        <v/>
      </c>
      <c r="I25">
        <f>IF(A25="","",IF(ABS(G25)&gt;=$B$1,"Oui",""))</f>
        <v/>
      </c>
    </row>
    <row r="26">
      <c r="A26" t="inlineStr">
        <is>
          <t>409100</t>
        </is>
      </c>
      <c r="B26" t="inlineStr">
        <is>
          <t>Fournisseurs - avances et acomptes versés</t>
        </is>
      </c>
      <c r="C26" t="n">
        <v>9000</v>
      </c>
      <c r="E26" t="n">
        <v>12000</v>
      </c>
      <c r="G26" s="3">
        <f>IF(A26="","",(C26-D26)-(E26-F26))</f>
        <v/>
      </c>
      <c r="H26" s="4">
        <f>IF(OR(A26="",(E26-F26)=0),"",G26/ABS(E26-F26))</f>
        <v/>
      </c>
      <c r="I26">
        <f>IF(A26="","",IF(ABS(G26)&gt;=$B$1,"Oui",""))</f>
        <v/>
      </c>
    </row>
    <row r="27">
      <c r="A27" t="inlineStr">
        <is>
          <t>411000</t>
        </is>
      </c>
      <c r="B27" t="inlineStr">
        <is>
          <t>Clients</t>
        </is>
      </c>
      <c r="C27" t="n">
        <v>2660000</v>
      </c>
      <c r="E27" t="n">
        <v>1985000</v>
      </c>
      <c r="G27" s="3">
        <f>IF(A27="","",(C27-D27)-(E27-F27))</f>
        <v/>
      </c>
      <c r="H27" s="4">
        <f>IF(OR(A27="",(E27-F27)=0),"",G27/ABS(E27-F27))</f>
        <v/>
      </c>
      <c r="I27">
        <f>IF(A27="","",IF(ABS(G27)&gt;=$B$1,"Oui",""))</f>
        <v/>
      </c>
    </row>
    <row r="28">
      <c r="A28" t="inlineStr">
        <is>
          <t>416000</t>
        </is>
      </c>
      <c r="B28" t="inlineStr">
        <is>
          <t>Clients douteux ou litigieux</t>
        </is>
      </c>
      <c r="C28" t="n">
        <v>98000</v>
      </c>
      <c r="E28" t="n">
        <v>96000</v>
      </c>
      <c r="G28" s="3">
        <f>IF(A28="","",(C28-D28)-(E28-F28))</f>
        <v/>
      </c>
      <c r="H28" s="4">
        <f>IF(OR(A28="",(E28-F28)=0),"",G28/ABS(E28-F28))</f>
        <v/>
      </c>
      <c r="I28">
        <f>IF(A28="","",IF(ABS(G28)&gt;=$B$1,"Oui",""))</f>
        <v/>
      </c>
    </row>
    <row r="29">
      <c r="A29" t="inlineStr">
        <is>
          <t>418100</t>
        </is>
      </c>
      <c r="B29" t="inlineStr">
        <is>
          <t>Clients - factures à établir</t>
        </is>
      </c>
      <c r="C29" t="n">
        <v>44000</v>
      </c>
      <c r="E29" t="n">
        <v>41000</v>
      </c>
      <c r="G29" s="3">
        <f>IF(A29="","",(C29-D29)-(E29-F29))</f>
        <v/>
      </c>
      <c r="H29" s="4">
        <f>IF(OR(A29="",(E29-F29)=0),"",G29/ABS(E29-F29))</f>
        <v/>
      </c>
      <c r="I29">
        <f>IF(A29="","",IF(ABS(G29)&gt;=$B$1,"Oui",""))</f>
        <v/>
      </c>
    </row>
    <row r="30">
      <c r="A30" t="inlineStr">
        <is>
          <t>419100</t>
        </is>
      </c>
      <c r="B30" t="inlineStr">
        <is>
          <t>Clients - avances et acomptes reçus</t>
        </is>
      </c>
      <c r="D30" t="n">
        <v>26000</v>
      </c>
      <c r="F30" t="n">
        <v>22000</v>
      </c>
      <c r="G30" s="3">
        <f>IF(A30="","",(C30-D30)-(E30-F30))</f>
        <v/>
      </c>
      <c r="H30" s="4">
        <f>IF(OR(A30="",(E30-F30)=0),"",G30/ABS(E30-F30))</f>
        <v/>
      </c>
      <c r="I30">
        <f>IF(A30="","",IF(ABS(G30)&gt;=$B$1,"Oui",""))</f>
        <v/>
      </c>
    </row>
    <row r="31">
      <c r="A31" t="inlineStr">
        <is>
          <t>421000</t>
        </is>
      </c>
      <c r="B31" t="inlineStr">
        <is>
          <t>Personnel - rémunérations dues</t>
        </is>
      </c>
      <c r="D31" t="n">
        <v>4500</v>
      </c>
      <c r="F31" t="n">
        <v>4200</v>
      </c>
      <c r="G31" s="3">
        <f>IF(A31="","",(C31-D31)-(E31-F31))</f>
        <v/>
      </c>
      <c r="H31" s="4">
        <f>IF(OR(A31="",(E31-F31)=0),"",G31/ABS(E31-F31))</f>
        <v/>
      </c>
      <c r="I31">
        <f>IF(A31="","",IF(ABS(G31)&gt;=$B$1,"Oui",""))</f>
        <v/>
      </c>
    </row>
    <row r="32">
      <c r="A32" t="inlineStr">
        <is>
          <t>428200</t>
        </is>
      </c>
      <c r="B32" t="inlineStr">
        <is>
          <t>Dettes provisionnées pour congés payés</t>
        </is>
      </c>
      <c r="D32" t="n">
        <v>146000</v>
      </c>
      <c r="F32" t="n">
        <v>142000</v>
      </c>
      <c r="G32" s="3">
        <f>IF(A32="","",(C32-D32)-(E32-F32))</f>
        <v/>
      </c>
      <c r="H32" s="4">
        <f>IF(OR(A32="",(E32-F32)=0),"",G32/ABS(E32-F32))</f>
        <v/>
      </c>
      <c r="I32">
        <f>IF(A32="","",IF(ABS(G32)&gt;=$B$1,"Oui",""))</f>
        <v/>
      </c>
    </row>
    <row r="33">
      <c r="A33" t="inlineStr">
        <is>
          <t>431000</t>
        </is>
      </c>
      <c r="B33" t="inlineStr">
        <is>
          <t>Sécurité sociale (URSSAF)</t>
        </is>
      </c>
      <c r="D33" t="n">
        <v>121000</v>
      </c>
      <c r="F33" t="n">
        <v>118000</v>
      </c>
      <c r="G33" s="3">
        <f>IF(A33="","",(C33-D33)-(E33-F33))</f>
        <v/>
      </c>
      <c r="H33" s="4">
        <f>IF(OR(A33="",(E33-F33)=0),"",G33/ABS(E33-F33))</f>
        <v/>
      </c>
      <c r="I33">
        <f>IF(A33="","",IF(ABS(G33)&gt;=$B$1,"Oui",""))</f>
        <v/>
      </c>
    </row>
    <row r="34">
      <c r="A34" t="inlineStr">
        <is>
          <t>437000</t>
        </is>
      </c>
      <c r="B34" t="inlineStr">
        <is>
          <t>Autres organismes sociaux</t>
        </is>
      </c>
      <c r="D34" t="n">
        <v>66000</v>
      </c>
      <c r="F34" t="n">
        <v>64000</v>
      </c>
      <c r="G34" s="3">
        <f>IF(A34="","",(C34-D34)-(E34-F34))</f>
        <v/>
      </c>
      <c r="H34" s="4">
        <f>IF(OR(A34="",(E34-F34)=0),"",G34/ABS(E34-F34))</f>
        <v/>
      </c>
      <c r="I34">
        <f>IF(A34="","",IF(ABS(G34)&gt;=$B$1,"Oui",""))</f>
        <v/>
      </c>
    </row>
    <row r="35">
      <c r="A35" t="inlineStr">
        <is>
          <t>438200</t>
        </is>
      </c>
      <c r="B35" t="inlineStr">
        <is>
          <t>Charges sociales sur congés payés</t>
        </is>
      </c>
      <c r="D35" t="n">
        <v>60000</v>
      </c>
      <c r="F35" t="n">
        <v>58000</v>
      </c>
      <c r="G35" s="3">
        <f>IF(A35="","",(C35-D35)-(E35-F35))</f>
        <v/>
      </c>
      <c r="H35" s="4">
        <f>IF(OR(A35="",(E35-F35)=0),"",G35/ABS(E35-F35))</f>
        <v/>
      </c>
      <c r="I35">
        <f>IF(A35="","",IF(ABS(G35)&gt;=$B$1,"Oui",""))</f>
        <v/>
      </c>
    </row>
    <row r="36">
      <c r="A36" t="inlineStr">
        <is>
          <t>444000</t>
        </is>
      </c>
      <c r="B36" t="inlineStr">
        <is>
          <t>État - impôt sur les bénéfices</t>
        </is>
      </c>
      <c r="D36" t="n">
        <v>126400</v>
      </c>
      <c r="F36" t="n">
        <v>12000</v>
      </c>
      <c r="G36" s="3">
        <f>IF(A36="","",(C36-D36)-(E36-F36))</f>
        <v/>
      </c>
      <c r="H36" s="4">
        <f>IF(OR(A36="",(E36-F36)=0),"",G36/ABS(E36-F36))</f>
        <v/>
      </c>
      <c r="I36">
        <f>IF(A36="","",IF(ABS(G36)&gt;=$B$1,"Oui",""))</f>
        <v/>
      </c>
    </row>
    <row r="37">
      <c r="A37" t="inlineStr">
        <is>
          <t>445510</t>
        </is>
      </c>
      <c r="B37" t="inlineStr">
        <is>
          <t>TVA à décaisser</t>
        </is>
      </c>
      <c r="D37" t="n">
        <v>81000</v>
      </c>
      <c r="F37" t="n">
        <v>74000</v>
      </c>
      <c r="G37" s="3">
        <f>IF(A37="","",(C37-D37)-(E37-F37))</f>
        <v/>
      </c>
      <c r="H37" s="4">
        <f>IF(OR(A37="",(E37-F37)=0),"",G37/ABS(E37-F37))</f>
        <v/>
      </c>
      <c r="I37">
        <f>IF(A37="","",IF(ABS(G37)&gt;=$B$1,"Oui",""))</f>
        <v/>
      </c>
    </row>
    <row r="38">
      <c r="A38" t="inlineStr">
        <is>
          <t>445860</t>
        </is>
      </c>
      <c r="B38" t="inlineStr">
        <is>
          <t>TVA sur factures non parvenues</t>
        </is>
      </c>
      <c r="C38" t="n">
        <v>6300</v>
      </c>
      <c r="E38" t="n">
        <v>35700</v>
      </c>
      <c r="G38" s="3">
        <f>IF(A38="","",(C38-D38)-(E38-F38))</f>
        <v/>
      </c>
      <c r="H38" s="4">
        <f>IF(OR(A38="",(E38-F38)=0),"",G38/ABS(E38-F38))</f>
        <v/>
      </c>
      <c r="I38">
        <f>IF(A38="","",IF(ABS(G38)&gt;=$B$1,"Oui",""))</f>
        <v/>
      </c>
    </row>
    <row r="39">
      <c r="A39" t="inlineStr">
        <is>
          <t>445870</t>
        </is>
      </c>
      <c r="B39" t="inlineStr">
        <is>
          <t>TVA sur factures à établir</t>
        </is>
      </c>
      <c r="D39" t="n">
        <v>7300</v>
      </c>
      <c r="F39" t="n">
        <v>6800</v>
      </c>
      <c r="G39" s="3">
        <f>IF(A39="","",(C39-D39)-(E39-F39))</f>
        <v/>
      </c>
      <c r="H39" s="4">
        <f>IF(OR(A39="",(E39-F39)=0),"",G39/ABS(E39-F39))</f>
        <v/>
      </c>
      <c r="I39">
        <f>IF(A39="","",IF(ABS(G39)&gt;=$B$1,"Oui",""))</f>
        <v/>
      </c>
    </row>
    <row r="40">
      <c r="A40" t="inlineStr">
        <is>
          <t>447000</t>
        </is>
      </c>
      <c r="B40" t="inlineStr">
        <is>
          <t>Autres impôts, taxes et versements assimilés</t>
        </is>
      </c>
      <c r="D40" t="n">
        <v>13000</v>
      </c>
      <c r="F40" t="n">
        <v>12000</v>
      </c>
      <c r="G40" s="3">
        <f>IF(A40="","",(C40-D40)-(E40-F40))</f>
        <v/>
      </c>
      <c r="H40" s="4">
        <f>IF(OR(A40="",(E40-F40)=0),"",G40/ABS(E40-F40))</f>
        <v/>
      </c>
      <c r="I40">
        <f>IF(A40="","",IF(ABS(G40)&gt;=$B$1,"Oui",""))</f>
        <v/>
      </c>
    </row>
    <row r="41">
      <c r="A41" t="inlineStr">
        <is>
          <t>455000</t>
        </is>
      </c>
      <c r="B41" t="inlineStr">
        <is>
          <t>Compte courant d'associé - M. Verhaeghe</t>
        </is>
      </c>
      <c r="D41" t="n">
        <v>150000</v>
      </c>
      <c r="F41" t="n">
        <v>150000</v>
      </c>
      <c r="G41" s="3">
        <f>IF(A41="","",(C41-D41)-(E41-F41))</f>
        <v/>
      </c>
      <c r="H41" s="4">
        <f>IF(OR(A41="",(E41-F41)=0),"",G41/ABS(E41-F41))</f>
        <v/>
      </c>
      <c r="I41">
        <f>IF(A41="","",IF(ABS(G41)&gt;=$B$1,"Oui",""))</f>
        <v/>
      </c>
    </row>
    <row r="42">
      <c r="A42" t="inlineStr">
        <is>
          <t>471000</t>
        </is>
      </c>
      <c r="B42" t="inlineStr">
        <is>
          <t>Compte d'attente</t>
        </is>
      </c>
      <c r="C42" t="n">
        <v>86400</v>
      </c>
      <c r="G42" s="3">
        <f>IF(A42="","",(C42-D42)-(E42-F42))</f>
        <v/>
      </c>
      <c r="H42" s="4">
        <f>IF(OR(A42="",(E42-F42)=0),"",G42/ABS(E42-F42))</f>
        <v/>
      </c>
      <c r="I42">
        <f>IF(A42="","",IF(ABS(G42)&gt;=$B$1,"Oui",""))</f>
        <v/>
      </c>
    </row>
    <row r="43">
      <c r="A43" t="inlineStr">
        <is>
          <t>486000</t>
        </is>
      </c>
      <c r="B43" t="inlineStr">
        <is>
          <t>Charges constatées d'avance</t>
        </is>
      </c>
      <c r="C43" t="n">
        <v>67000</v>
      </c>
      <c r="E43" t="n">
        <v>64000</v>
      </c>
      <c r="G43" s="3">
        <f>IF(A43="","",(C43-D43)-(E43-F43))</f>
        <v/>
      </c>
      <c r="H43" s="4">
        <f>IF(OR(A43="",(E43-F43)=0),"",G43/ABS(E43-F43))</f>
        <v/>
      </c>
      <c r="I43">
        <f>IF(A43="","",IF(ABS(G43)&gt;=$B$1,"Oui",""))</f>
        <v/>
      </c>
    </row>
    <row r="44">
      <c r="A44" t="inlineStr">
        <is>
          <t>491000</t>
        </is>
      </c>
      <c r="B44" t="inlineStr">
        <is>
          <t>Dépréciations des comptes clients</t>
        </is>
      </c>
      <c r="D44" t="n">
        <v>52000</v>
      </c>
      <c r="F44" t="n">
        <v>71000</v>
      </c>
      <c r="G44" s="3">
        <f>IF(A44="","",(C44-D44)-(E44-F44))</f>
        <v/>
      </c>
      <c r="H44" s="4">
        <f>IF(OR(A44="",(E44-F44)=0),"",G44/ABS(E44-F44))</f>
        <v/>
      </c>
      <c r="I44">
        <f>IF(A44="","",IF(ABS(G44)&gt;=$B$1,"Oui",""))</f>
        <v/>
      </c>
    </row>
    <row r="45">
      <c r="A45" t="inlineStr">
        <is>
          <t>512000</t>
        </is>
      </c>
      <c r="B45" t="inlineStr">
        <is>
          <t>Banque</t>
        </is>
      </c>
      <c r="C45" t="n">
        <v>433800</v>
      </c>
      <c r="E45" t="n">
        <v>975200</v>
      </c>
      <c r="G45" s="3">
        <f>IF(A45="","",(C45-D45)-(E45-F45))</f>
        <v/>
      </c>
      <c r="H45" s="4">
        <f>IF(OR(A45="",(E45-F45)=0),"",G45/ABS(E45-F45))</f>
        <v/>
      </c>
      <c r="I45">
        <f>IF(A45="","",IF(ABS(G45)&gt;=$B$1,"Oui",""))</f>
        <v/>
      </c>
    </row>
    <row r="46">
      <c r="A46" t="inlineStr">
        <is>
          <t>530000</t>
        </is>
      </c>
      <c r="B46" t="inlineStr">
        <is>
          <t>Caisse</t>
        </is>
      </c>
      <c r="C46" t="n">
        <v>900</v>
      </c>
      <c r="E46" t="n">
        <v>1200</v>
      </c>
      <c r="G46" s="3">
        <f>IF(A46="","",(C46-D46)-(E46-F46))</f>
        <v/>
      </c>
      <c r="H46" s="4">
        <f>IF(OR(A46="",(E46-F46)=0),"",G46/ABS(E46-F46))</f>
        <v/>
      </c>
      <c r="I46">
        <f>IF(A46="","",IF(ABS(G46)&gt;=$B$1,"Oui",""))</f>
        <v/>
      </c>
    </row>
    <row r="47">
      <c r="A47" t="inlineStr">
        <is>
          <t>603710</t>
        </is>
      </c>
      <c r="B47" t="inlineStr">
        <is>
          <t>Variation des stocks - fournitures de bureau</t>
        </is>
      </c>
      <c r="D47" t="n">
        <v>40000</v>
      </c>
      <c r="F47" t="n">
        <v>20000</v>
      </c>
      <c r="G47" s="3">
        <f>IF(A47="","",(C47-D47)-(E47-F47))</f>
        <v/>
      </c>
      <c r="H47" s="4">
        <f>IF(OR(A47="",(E47-F47)=0),"",G47/ABS(E47-F47))</f>
        <v/>
      </c>
      <c r="I47">
        <f>IF(A47="","",IF(ABS(G47)&gt;=$B$1,"Oui",""))</f>
        <v/>
      </c>
    </row>
    <row r="48">
      <c r="A48" t="inlineStr">
        <is>
          <t>603720</t>
        </is>
      </c>
      <c r="B48" t="inlineStr">
        <is>
          <t>Variation des stocks - mobilier de bureau</t>
        </is>
      </c>
      <c r="D48" t="n">
        <v>320000</v>
      </c>
      <c r="F48" t="n">
        <v>25000</v>
      </c>
      <c r="G48" s="3">
        <f>IF(A48="","",(C48-D48)-(E48-F48))</f>
        <v/>
      </c>
      <c r="H48" s="4">
        <f>IF(OR(A48="",(E48-F48)=0),"",G48/ABS(E48-F48))</f>
        <v/>
      </c>
      <c r="I48">
        <f>IF(A48="","",IF(ABS(G48)&gt;=$B$1,"Oui",""))</f>
        <v/>
      </c>
    </row>
    <row r="49">
      <c r="A49" t="inlineStr">
        <is>
          <t>603730</t>
        </is>
      </c>
      <c r="B49" t="inlineStr">
        <is>
          <t>Variation des stocks - consommables informatiques</t>
        </is>
      </c>
      <c r="D49" t="n">
        <v>20000</v>
      </c>
      <c r="F49" t="n">
        <v>5000</v>
      </c>
      <c r="G49" s="3">
        <f>IF(A49="","",(C49-D49)-(E49-F49))</f>
        <v/>
      </c>
      <c r="H49" s="4">
        <f>IF(OR(A49="",(E49-F49)=0),"",G49/ABS(E49-F49))</f>
        <v/>
      </c>
      <c r="I49">
        <f>IF(A49="","",IF(ABS(G49)&gt;=$B$1,"Oui",""))</f>
        <v/>
      </c>
    </row>
    <row r="50">
      <c r="A50" t="inlineStr">
        <is>
          <t>606100</t>
        </is>
      </c>
      <c r="B50" t="inlineStr">
        <is>
          <t>Fournitures non stockables (électricité, gaz)</t>
        </is>
      </c>
      <c r="C50" t="n">
        <v>80000</v>
      </c>
      <c r="E50" t="n">
        <v>58000</v>
      </c>
      <c r="G50" s="3">
        <f>IF(A50="","",(C50-D50)-(E50-F50))</f>
        <v/>
      </c>
      <c r="H50" s="4">
        <f>IF(OR(A50="",(E50-F50)=0),"",G50/ABS(E50-F50))</f>
        <v/>
      </c>
      <c r="I50">
        <f>IF(A50="","",IF(ABS(G50)&gt;=$B$1,"Oui",""))</f>
        <v/>
      </c>
    </row>
    <row r="51">
      <c r="A51" t="inlineStr">
        <is>
          <t>606300</t>
        </is>
      </c>
      <c r="B51" t="inlineStr">
        <is>
          <t>Fournitures d'entretien et de petit équipement</t>
        </is>
      </c>
      <c r="C51" t="n">
        <v>23000</v>
      </c>
      <c r="E51" t="n">
        <v>21000</v>
      </c>
      <c r="G51" s="3">
        <f>IF(A51="","",(C51-D51)-(E51-F51))</f>
        <v/>
      </c>
      <c r="H51" s="4">
        <f>IF(OR(A51="",(E51-F51)=0),"",G51/ABS(E51-F51))</f>
        <v/>
      </c>
      <c r="I51">
        <f>IF(A51="","",IF(ABS(G51)&gt;=$B$1,"Oui",""))</f>
        <v/>
      </c>
    </row>
    <row r="52">
      <c r="A52" t="inlineStr">
        <is>
          <t>606400</t>
        </is>
      </c>
      <c r="B52" t="inlineStr">
        <is>
          <t>Fournitures administratives</t>
        </is>
      </c>
      <c r="C52" t="n">
        <v>9400</v>
      </c>
      <c r="E52" t="n">
        <v>9000</v>
      </c>
      <c r="G52" s="3">
        <f>IF(A52="","",(C52-D52)-(E52-F52))</f>
        <v/>
      </c>
      <c r="H52" s="4">
        <f>IF(OR(A52="",(E52-F52)=0),"",G52/ABS(E52-F52))</f>
        <v/>
      </c>
      <c r="I52">
        <f>IF(A52="","",IF(ABS(G52)&gt;=$B$1,"Oui",""))</f>
        <v/>
      </c>
    </row>
    <row r="53">
      <c r="A53" t="inlineStr">
        <is>
          <t>607110</t>
        </is>
      </c>
      <c r="B53" t="inlineStr">
        <is>
          <t>Achats de marchandises - fournitures de bureau</t>
        </is>
      </c>
      <c r="C53" t="n">
        <v>3950000</v>
      </c>
      <c r="E53" t="n">
        <v>3600000</v>
      </c>
      <c r="G53" s="3">
        <f>IF(A53="","",(C53-D53)-(E53-F53))</f>
        <v/>
      </c>
      <c r="H53" s="4">
        <f>IF(OR(A53="",(E53-F53)=0),"",G53/ABS(E53-F53))</f>
        <v/>
      </c>
      <c r="I53">
        <f>IF(A53="","",IF(ABS(G53)&gt;=$B$1,"Oui",""))</f>
        <v/>
      </c>
    </row>
    <row r="54">
      <c r="A54" t="inlineStr">
        <is>
          <t>607120</t>
        </is>
      </c>
      <c r="B54" t="inlineStr">
        <is>
          <t>Achats de marchandises - mobilier de bureau</t>
        </is>
      </c>
      <c r="C54" t="n">
        <v>2710000</v>
      </c>
      <c r="E54" t="n">
        <v>2740000</v>
      </c>
      <c r="G54" s="3">
        <f>IF(A54="","",(C54-D54)-(E54-F54))</f>
        <v/>
      </c>
      <c r="H54" s="4">
        <f>IF(OR(A54="",(E54-F54)=0),"",G54/ABS(E54-F54))</f>
        <v/>
      </c>
      <c r="I54">
        <f>IF(A54="","",IF(ABS(G54)&gt;=$B$1,"Oui",""))</f>
        <v/>
      </c>
    </row>
    <row r="55">
      <c r="A55" t="inlineStr">
        <is>
          <t>607130</t>
        </is>
      </c>
      <c r="B55" t="inlineStr">
        <is>
          <t>Achats de marchandises - consommables informatiques</t>
        </is>
      </c>
      <c r="C55" t="n">
        <v>1690000</v>
      </c>
      <c r="E55" t="n">
        <v>1440000</v>
      </c>
      <c r="G55" s="3">
        <f>IF(A55="","",(C55-D55)-(E55-F55))</f>
        <v/>
      </c>
      <c r="H55" s="4">
        <f>IF(OR(A55="",(E55-F55)=0),"",G55/ABS(E55-F55))</f>
        <v/>
      </c>
      <c r="I55">
        <f>IF(A55="","",IF(ABS(G55)&gt;=$B$1,"Oui",""))</f>
        <v/>
      </c>
    </row>
    <row r="56">
      <c r="A56" t="inlineStr">
        <is>
          <t>609700</t>
        </is>
      </c>
      <c r="B56" t="inlineStr">
        <is>
          <t>Rabais, remises et ristournes obtenus sur achats</t>
        </is>
      </c>
      <c r="D56" t="n">
        <v>99000</v>
      </c>
      <c r="F56" t="n">
        <v>96000</v>
      </c>
      <c r="G56" s="3">
        <f>IF(A56="","",(C56-D56)-(E56-F56))</f>
        <v/>
      </c>
      <c r="H56" s="4">
        <f>IF(OR(A56="",(E56-F56)=0),"",G56/ABS(E56-F56))</f>
        <v/>
      </c>
      <c r="I56">
        <f>IF(A56="","",IF(ABS(G56)&gt;=$B$1,"Oui",""))</f>
        <v/>
      </c>
    </row>
    <row r="57">
      <c r="A57" t="inlineStr">
        <is>
          <t>613200</t>
        </is>
      </c>
      <c r="B57" t="inlineStr">
        <is>
          <t>Locations immobilières - SCI des Peupliers (entrepôt)</t>
        </is>
      </c>
      <c r="C57" t="n">
        <v>318000</v>
      </c>
      <c r="E57" t="n">
        <v>312000</v>
      </c>
      <c r="G57" s="3">
        <f>IF(A57="","",(C57-D57)-(E57-F57))</f>
        <v/>
      </c>
      <c r="H57" s="4">
        <f>IF(OR(A57="",(E57-F57)=0),"",G57/ABS(E57-F57))</f>
        <v/>
      </c>
      <c r="I57">
        <f>IF(A57="","",IF(ABS(G57)&gt;=$B$1,"Oui",""))</f>
        <v/>
      </c>
    </row>
    <row r="58">
      <c r="A58" t="inlineStr">
        <is>
          <t>613500</t>
        </is>
      </c>
      <c r="B58" t="inlineStr">
        <is>
          <t>Locations mobilières</t>
        </is>
      </c>
      <c r="C58" t="n">
        <v>22000</v>
      </c>
      <c r="E58" t="n">
        <v>38000</v>
      </c>
      <c r="G58" s="3">
        <f>IF(A58="","",(C58-D58)-(E58-F58))</f>
        <v/>
      </c>
      <c r="H58" s="4">
        <f>IF(OR(A58="",(E58-F58)=0),"",G58/ABS(E58-F58))</f>
        <v/>
      </c>
      <c r="I58">
        <f>IF(A58="","",IF(ABS(G58)&gt;=$B$1,"Oui",""))</f>
        <v/>
      </c>
    </row>
    <row r="59">
      <c r="A59" t="inlineStr">
        <is>
          <t>615500</t>
        </is>
      </c>
      <c r="B59" t="inlineStr">
        <is>
          <t>Entretien et réparations</t>
        </is>
      </c>
      <c r="C59" t="n">
        <v>47000</v>
      </c>
      <c r="E59" t="n">
        <v>44000</v>
      </c>
      <c r="G59" s="3">
        <f>IF(A59="","",(C59-D59)-(E59-F59))</f>
        <v/>
      </c>
      <c r="H59" s="4">
        <f>IF(OR(A59="",(E59-F59)=0),"",G59/ABS(E59-F59))</f>
        <v/>
      </c>
      <c r="I59">
        <f>IF(A59="","",IF(ABS(G59)&gt;=$B$1,"Oui",""))</f>
        <v/>
      </c>
    </row>
    <row r="60">
      <c r="A60" t="inlineStr">
        <is>
          <t>616000</t>
        </is>
      </c>
      <c r="B60" t="inlineStr">
        <is>
          <t>Primes d'assurance</t>
        </is>
      </c>
      <c r="C60" t="n">
        <v>55000</v>
      </c>
      <c r="E60" t="n">
        <v>52000</v>
      </c>
      <c r="G60" s="3">
        <f>IF(A60="","",(C60-D60)-(E60-F60))</f>
        <v/>
      </c>
      <c r="H60" s="4">
        <f>IF(OR(A60="",(E60-F60)=0),"",G60/ABS(E60-F60))</f>
        <v/>
      </c>
      <c r="I60">
        <f>IF(A60="","",IF(ABS(G60)&gt;=$B$1,"Oui",""))</f>
        <v/>
      </c>
    </row>
    <row r="61">
      <c r="A61" t="inlineStr">
        <is>
          <t>622600</t>
        </is>
      </c>
      <c r="B61" t="inlineStr">
        <is>
          <t>Honoraires</t>
        </is>
      </c>
      <c r="C61" t="n">
        <v>71000</v>
      </c>
      <c r="E61" t="n">
        <v>68000</v>
      </c>
      <c r="G61" s="3">
        <f>IF(A61="","",(C61-D61)-(E61-F61))</f>
        <v/>
      </c>
      <c r="H61" s="4">
        <f>IF(OR(A61="",(E61-F61)=0),"",G61/ABS(E61-F61))</f>
        <v/>
      </c>
      <c r="I61">
        <f>IF(A61="","",IF(ABS(G61)&gt;=$B$1,"Oui",""))</f>
        <v/>
      </c>
    </row>
    <row r="62">
      <c r="A62" t="inlineStr">
        <is>
          <t>623000</t>
        </is>
      </c>
      <c r="B62" t="inlineStr">
        <is>
          <t>Publicité, salons et catalogues</t>
        </is>
      </c>
      <c r="C62" t="n">
        <v>92000</v>
      </c>
      <c r="E62" t="n">
        <v>86000</v>
      </c>
      <c r="G62" s="3">
        <f>IF(A62="","",(C62-D62)-(E62-F62))</f>
        <v/>
      </c>
      <c r="H62" s="4">
        <f>IF(OR(A62="",(E62-F62)=0),"",G62/ABS(E62-F62))</f>
        <v/>
      </c>
      <c r="I62">
        <f>IF(A62="","",IF(ABS(G62)&gt;=$B$1,"Oui",""))</f>
        <v/>
      </c>
    </row>
    <row r="63">
      <c r="A63" t="inlineStr">
        <is>
          <t>624200</t>
        </is>
      </c>
      <c r="B63" t="inlineStr">
        <is>
          <t>Transports sur ventes</t>
        </is>
      </c>
      <c r="C63" t="n">
        <v>436000</v>
      </c>
      <c r="E63" t="n">
        <v>402000</v>
      </c>
      <c r="G63" s="3">
        <f>IF(A63="","",(C63-D63)-(E63-F63))</f>
        <v/>
      </c>
      <c r="H63" s="4">
        <f>IF(OR(A63="",(E63-F63)=0),"",G63/ABS(E63-F63))</f>
        <v/>
      </c>
      <c r="I63">
        <f>IF(A63="","",IF(ABS(G63)&gt;=$B$1,"Oui",""))</f>
        <v/>
      </c>
    </row>
    <row r="64">
      <c r="A64" t="inlineStr">
        <is>
          <t>625100</t>
        </is>
      </c>
      <c r="B64" t="inlineStr">
        <is>
          <t>Voyages et déplacements</t>
        </is>
      </c>
      <c r="C64" t="n">
        <v>63000</v>
      </c>
      <c r="E64" t="n">
        <v>61000</v>
      </c>
      <c r="G64" s="3">
        <f>IF(A64="","",(C64-D64)-(E64-F64))</f>
        <v/>
      </c>
      <c r="H64" s="4">
        <f>IF(OR(A64="",(E64-F64)=0),"",G64/ABS(E64-F64))</f>
        <v/>
      </c>
      <c r="I64">
        <f>IF(A64="","",IF(ABS(G64)&gt;=$B$1,"Oui",""))</f>
        <v/>
      </c>
    </row>
    <row r="65">
      <c r="A65" t="inlineStr">
        <is>
          <t>626000</t>
        </is>
      </c>
      <c r="B65" t="inlineStr">
        <is>
          <t>Frais postaux et de télécommunications</t>
        </is>
      </c>
      <c r="C65" t="n">
        <v>18500</v>
      </c>
      <c r="E65" t="n">
        <v>18000</v>
      </c>
      <c r="G65" s="3">
        <f>IF(A65="","",(C65-D65)-(E65-F65))</f>
        <v/>
      </c>
      <c r="H65" s="4">
        <f>IF(OR(A65="",(E65-F65)=0),"",G65/ABS(E65-F65))</f>
        <v/>
      </c>
      <c r="I65">
        <f>IF(A65="","",IF(ABS(G65)&gt;=$B$1,"Oui",""))</f>
        <v/>
      </c>
    </row>
    <row r="66">
      <c r="A66" t="inlineStr">
        <is>
          <t>627000</t>
        </is>
      </c>
      <c r="B66" t="inlineStr">
        <is>
          <t>Services bancaires</t>
        </is>
      </c>
      <c r="C66" t="n">
        <v>15000</v>
      </c>
      <c r="E66" t="n">
        <v>14000</v>
      </c>
      <c r="G66" s="3">
        <f>IF(A66="","",(C66-D66)-(E66-F66))</f>
        <v/>
      </c>
      <c r="H66" s="4">
        <f>IF(OR(A66="",(E66-F66)=0),"",G66/ABS(E66-F66))</f>
        <v/>
      </c>
      <c r="I66">
        <f>IF(A66="","",IF(ABS(G66)&gt;=$B$1,"Oui",""))</f>
        <v/>
      </c>
    </row>
    <row r="67">
      <c r="A67" t="inlineStr">
        <is>
          <t>633300</t>
        </is>
      </c>
      <c r="B67" t="inlineStr">
        <is>
          <t>Participation à la formation professionnelle</t>
        </is>
      </c>
      <c r="C67" t="n">
        <v>25000</v>
      </c>
      <c r="E67" t="n">
        <v>24000</v>
      </c>
      <c r="G67" s="3">
        <f>IF(A67="","",(C67-D67)-(E67-F67))</f>
        <v/>
      </c>
      <c r="H67" s="4">
        <f>IF(OR(A67="",(E67-F67)=0),"",G67/ABS(E67-F67))</f>
        <v/>
      </c>
      <c r="I67">
        <f>IF(A67="","",IF(ABS(G67)&gt;=$B$1,"Oui",""))</f>
        <v/>
      </c>
    </row>
    <row r="68">
      <c r="A68" t="inlineStr">
        <is>
          <t>635110</t>
        </is>
      </c>
      <c r="B68" t="inlineStr">
        <is>
          <t>Contribution économique territoriale</t>
        </is>
      </c>
      <c r="C68" t="n">
        <v>44000</v>
      </c>
      <c r="E68" t="n">
        <v>46000</v>
      </c>
      <c r="G68" s="3">
        <f>IF(A68="","",(C68-D68)-(E68-F68))</f>
        <v/>
      </c>
      <c r="H68" s="4">
        <f>IF(OR(A68="",(E68-F68)=0),"",G68/ABS(E68-F68))</f>
        <v/>
      </c>
      <c r="I68">
        <f>IF(A68="","",IF(ABS(G68)&gt;=$B$1,"Oui",""))</f>
        <v/>
      </c>
    </row>
    <row r="69">
      <c r="A69" t="inlineStr">
        <is>
          <t>641100</t>
        </is>
      </c>
      <c r="B69" t="inlineStr">
        <is>
          <t>Salaires et appointements</t>
        </is>
      </c>
      <c r="C69" t="n">
        <v>1548000</v>
      </c>
      <c r="E69" t="n">
        <v>1512000</v>
      </c>
      <c r="G69" s="3">
        <f>IF(A69="","",(C69-D69)-(E69-F69))</f>
        <v/>
      </c>
      <c r="H69" s="4">
        <f>IF(OR(A69="",(E69-F69)=0),"",G69/ABS(E69-F69))</f>
        <v/>
      </c>
      <c r="I69">
        <f>IF(A69="","",IF(ABS(G69)&gt;=$B$1,"Oui",""))</f>
        <v/>
      </c>
    </row>
    <row r="70">
      <c r="A70" t="inlineStr">
        <is>
          <t>645100</t>
        </is>
      </c>
      <c r="B70" t="inlineStr">
        <is>
          <t>Cotisations à l'URSSAF</t>
        </is>
      </c>
      <c r="C70" t="n">
        <v>439000</v>
      </c>
      <c r="E70" t="n">
        <v>428000</v>
      </c>
      <c r="G70" s="3">
        <f>IF(A70="","",(C70-D70)-(E70-F70))</f>
        <v/>
      </c>
      <c r="H70" s="4">
        <f>IF(OR(A70="",(E70-F70)=0),"",G70/ABS(E70-F70))</f>
        <v/>
      </c>
      <c r="I70">
        <f>IF(A70="","",IF(ABS(G70)&gt;=$B$1,"Oui",""))</f>
        <v/>
      </c>
    </row>
    <row r="71">
      <c r="A71" t="inlineStr">
        <is>
          <t>645300</t>
        </is>
      </c>
      <c r="B71" t="inlineStr">
        <is>
          <t>Cotisations aux caisses de retraite et prévoyance</t>
        </is>
      </c>
      <c r="C71" t="n">
        <v>197000</v>
      </c>
      <c r="E71" t="n">
        <v>192000</v>
      </c>
      <c r="G71" s="3">
        <f>IF(A71="","",(C71-D71)-(E71-F71))</f>
        <v/>
      </c>
      <c r="H71" s="4">
        <f>IF(OR(A71="",(E71-F71)=0),"",G71/ABS(E71-F71))</f>
        <v/>
      </c>
      <c r="I71">
        <f>IF(A71="","",IF(ABS(G71)&gt;=$B$1,"Oui",""))</f>
        <v/>
      </c>
    </row>
    <row r="72">
      <c r="A72" t="inlineStr">
        <is>
          <t>647500</t>
        </is>
      </c>
      <c r="B72" t="inlineStr">
        <is>
          <t>Médecine du travail</t>
        </is>
      </c>
      <c r="C72" t="n">
        <v>5300</v>
      </c>
      <c r="E72" t="n">
        <v>5200</v>
      </c>
      <c r="G72" s="3">
        <f>IF(A72="","",(C72-D72)-(E72-F72))</f>
        <v/>
      </c>
      <c r="H72" s="4">
        <f>IF(OR(A72="",(E72-F72)=0),"",G72/ABS(E72-F72))</f>
        <v/>
      </c>
      <c r="I72">
        <f>IF(A72="","",IF(ABS(G72)&gt;=$B$1,"Oui",""))</f>
        <v/>
      </c>
    </row>
    <row r="73">
      <c r="A73" t="inlineStr">
        <is>
          <t>654100</t>
        </is>
      </c>
      <c r="B73" t="inlineStr">
        <is>
          <t>Pertes sur créances irrécouvrables</t>
        </is>
      </c>
      <c r="C73" t="n">
        <v>4000</v>
      </c>
      <c r="E73" t="n">
        <v>18000</v>
      </c>
      <c r="G73" s="3">
        <f>IF(A73="","",(C73-D73)-(E73-F73))</f>
        <v/>
      </c>
      <c r="H73" s="4">
        <f>IF(OR(A73="",(E73-F73)=0),"",G73/ABS(E73-F73))</f>
        <v/>
      </c>
      <c r="I73">
        <f>IF(A73="","",IF(ABS(G73)&gt;=$B$1,"Oui",""))</f>
        <v/>
      </c>
    </row>
    <row r="74">
      <c r="A74" t="inlineStr">
        <is>
          <t>661100</t>
        </is>
      </c>
      <c r="B74" t="inlineStr">
        <is>
          <t>Intérêts des emprunts</t>
        </is>
      </c>
      <c r="C74" t="n">
        <v>27000</v>
      </c>
      <c r="E74" t="n">
        <v>11000</v>
      </c>
      <c r="G74" s="3">
        <f>IF(A74="","",(C74-D74)-(E74-F74))</f>
        <v/>
      </c>
      <c r="H74" s="4">
        <f>IF(OR(A74="",(E74-F74)=0),"",G74/ABS(E74-F74))</f>
        <v/>
      </c>
      <c r="I74">
        <f>IF(A74="","",IF(ABS(G74)&gt;=$B$1,"Oui",""))</f>
        <v/>
      </c>
    </row>
    <row r="75">
      <c r="A75" t="inlineStr">
        <is>
          <t>681120</t>
        </is>
      </c>
      <c r="B75" t="inlineStr">
        <is>
          <t>Dotations aux amortissements des immobilisations corporelles</t>
        </is>
      </c>
      <c r="C75" t="n">
        <v>193200</v>
      </c>
      <c r="E75" t="n">
        <v>190400</v>
      </c>
      <c r="G75" s="3">
        <f>IF(A75="","",(C75-D75)-(E75-F75))</f>
        <v/>
      </c>
      <c r="H75" s="4">
        <f>IF(OR(A75="",(E75-F75)=0),"",G75/ABS(E75-F75))</f>
        <v/>
      </c>
      <c r="I75">
        <f>IF(A75="","",IF(ABS(G75)&gt;=$B$1,"Oui",""))</f>
        <v/>
      </c>
    </row>
    <row r="76">
      <c r="A76" t="inlineStr">
        <is>
          <t>681740</t>
        </is>
      </c>
      <c r="B76" t="inlineStr">
        <is>
          <t>Dotations aux dépréciations des créances</t>
        </is>
      </c>
      <c r="E76" t="n">
        <v>26000</v>
      </c>
      <c r="G76" s="3">
        <f>IF(A76="","",(C76-D76)-(E76-F76))</f>
        <v/>
      </c>
      <c r="H76" s="4">
        <f>IF(OR(A76="",(E76-F76)=0),"",G76/ABS(E76-F76))</f>
        <v/>
      </c>
      <c r="I76">
        <f>IF(A76="","",IF(ABS(G76)&gt;=$B$1,"Oui",""))</f>
        <v/>
      </c>
    </row>
    <row r="77">
      <c r="A77" t="inlineStr">
        <is>
          <t>695000</t>
        </is>
      </c>
      <c r="B77" t="inlineStr">
        <is>
          <t>Impôt sur les bénéfices</t>
        </is>
      </c>
      <c r="C77" t="n">
        <v>212200</v>
      </c>
      <c r="E77" t="n">
        <v>85800</v>
      </c>
      <c r="G77" s="3">
        <f>IF(A77="","",(C77-D77)-(E77-F77))</f>
        <v/>
      </c>
      <c r="H77" s="4">
        <f>IF(OR(A77="",(E77-F77)=0),"",G77/ABS(E77-F77))</f>
        <v/>
      </c>
      <c r="I77">
        <f>IF(A77="","",IF(ABS(G77)&gt;=$B$1,"Oui",""))</f>
        <v/>
      </c>
    </row>
    <row r="78">
      <c r="A78" t="inlineStr">
        <is>
          <t>707110</t>
        </is>
      </c>
      <c r="B78" t="inlineStr">
        <is>
          <t>Ventes de marchandises - fournitures de bureau</t>
        </is>
      </c>
      <c r="D78" t="n">
        <v>5610000</v>
      </c>
      <c r="F78" t="n">
        <v>5240000</v>
      </c>
      <c r="G78" s="3">
        <f>IF(A78="","",(C78-D78)-(E78-F78))</f>
        <v/>
      </c>
      <c r="H78" s="4">
        <f>IF(OR(A78="",(E78-F78)=0),"",G78/ABS(E78-F78))</f>
        <v/>
      </c>
      <c r="I78">
        <f>IF(A78="","",IF(ABS(G78)&gt;=$B$1,"Oui",""))</f>
        <v/>
      </c>
    </row>
    <row r="79">
      <c r="A79" t="inlineStr">
        <is>
          <t>707120</t>
        </is>
      </c>
      <c r="B79" t="inlineStr">
        <is>
          <t>Ventes de marchandises - mobilier de bureau</t>
        </is>
      </c>
      <c r="D79" t="n">
        <v>4270000</v>
      </c>
      <c r="F79" t="n">
        <v>4130000</v>
      </c>
      <c r="G79" s="3">
        <f>IF(A79="","",(C79-D79)-(E79-F79))</f>
        <v/>
      </c>
      <c r="H79" s="4">
        <f>IF(OR(A79="",(E79-F79)=0),"",G79/ABS(E79-F79))</f>
        <v/>
      </c>
      <c r="I79">
        <f>IF(A79="","",IF(ABS(G79)&gt;=$B$1,"Oui",""))</f>
        <v/>
      </c>
    </row>
    <row r="80">
      <c r="A80" t="inlineStr">
        <is>
          <t>707130</t>
        </is>
      </c>
      <c r="B80" t="inlineStr">
        <is>
          <t>Ventes de marchandises - consommables informatiques</t>
        </is>
      </c>
      <c r="D80" t="n">
        <v>2600000</v>
      </c>
      <c r="F80" t="n">
        <v>2250000</v>
      </c>
      <c r="G80" s="3">
        <f>IF(A80="","",(C80-D80)-(E80-F80))</f>
        <v/>
      </c>
      <c r="H80" s="4">
        <f>IF(OR(A80="",(E80-F80)=0),"",G80/ABS(E80-F80))</f>
        <v/>
      </c>
      <c r="I80">
        <f>IF(A80="","",IF(ABS(G80)&gt;=$B$1,"Oui",""))</f>
        <v/>
      </c>
    </row>
    <row r="81">
      <c r="A81" t="inlineStr">
        <is>
          <t>708500</t>
        </is>
      </c>
      <c r="B81" t="inlineStr">
        <is>
          <t>Ports et frais accessoires facturés</t>
        </is>
      </c>
      <c r="D81" t="n">
        <v>151000</v>
      </c>
      <c r="F81" t="n">
        <v>148000</v>
      </c>
      <c r="G81" s="3">
        <f>IF(A81="","",(C81-D81)-(E81-F81))</f>
        <v/>
      </c>
      <c r="H81" s="4">
        <f>IF(OR(A81="",(E81-F81)=0),"",G81/ABS(E81-F81))</f>
        <v/>
      </c>
      <c r="I81">
        <f>IF(A81="","",IF(ABS(G81)&gt;=$B$1,"Oui",""))</f>
        <v/>
      </c>
    </row>
    <row r="82">
      <c r="A82" t="inlineStr">
        <is>
          <t>709700</t>
        </is>
      </c>
      <c r="B82" t="inlineStr">
        <is>
          <t>Rabais, remises et ristournes accordés</t>
        </is>
      </c>
      <c r="C82" t="n">
        <v>205000</v>
      </c>
      <c r="E82" t="n">
        <v>186000</v>
      </c>
      <c r="G82" s="3">
        <f>IF(A82="","",(C82-D82)-(E82-F82))</f>
        <v/>
      </c>
      <c r="H82" s="4">
        <f>IF(OR(A82="",(E82-F82)=0),"",G82/ABS(E82-F82))</f>
        <v/>
      </c>
      <c r="I82">
        <f>IF(A82="","",IF(ABS(G82)&gt;=$B$1,"Oui",""))</f>
        <v/>
      </c>
    </row>
    <row r="83">
      <c r="A83" t="inlineStr">
        <is>
          <t>758000</t>
        </is>
      </c>
      <c r="B83" t="inlineStr">
        <is>
          <t>Produits divers de gestion courante</t>
        </is>
      </c>
      <c r="D83" t="n">
        <v>5000</v>
      </c>
      <c r="F83" t="n">
        <v>6000</v>
      </c>
      <c r="G83" s="3">
        <f>IF(A83="","",(C83-D83)-(E83-F83))</f>
        <v/>
      </c>
      <c r="H83" s="4">
        <f>IF(OR(A83="",(E83-F83)=0),"",G83/ABS(E83-F83))</f>
        <v/>
      </c>
      <c r="I83">
        <f>IF(A83="","",IF(ABS(G83)&gt;=$B$1,"Oui",""))</f>
        <v/>
      </c>
    </row>
    <row r="84">
      <c r="A84" t="inlineStr">
        <is>
          <t>768000</t>
        </is>
      </c>
      <c r="B84" t="inlineStr">
        <is>
          <t>Autres produits financiers</t>
        </is>
      </c>
      <c r="D84" t="n">
        <v>2000</v>
      </c>
      <c r="F84" t="n">
        <v>3000</v>
      </c>
      <c r="G84" s="3">
        <f>IF(A84="","",(C84-D84)-(E84-F84))</f>
        <v/>
      </c>
      <c r="H84" s="4">
        <f>IF(OR(A84="",(E84-F84)=0),"",G84/ABS(E84-F84))</f>
        <v/>
      </c>
      <c r="I84">
        <f>IF(A84="","",IF(ABS(G84)&gt;=$B$1,"Oui",""))</f>
        <v/>
      </c>
    </row>
    <row r="85">
      <c r="A85" t="inlineStr">
        <is>
          <t>781740</t>
        </is>
      </c>
      <c r="B85" t="inlineStr">
        <is>
          <t>Reprises sur dépréciations des créances</t>
        </is>
      </c>
      <c r="D85" t="n">
        <v>19000</v>
      </c>
      <c r="F85" t="n">
        <v>22000</v>
      </c>
      <c r="G85" s="3">
        <f>IF(A85="","",(C85-D85)-(E85-F85))</f>
        <v/>
      </c>
      <c r="H85" s="4">
        <f>IF(OR(A85="",(E85-F85)=0),"",G85/ABS(E85-F85))</f>
        <v/>
      </c>
      <c r="I85">
        <f>IF(A85="","",IF(ABS(G85)&gt;=$B$1,"Oui",""))</f>
        <v/>
      </c>
    </row>
    <row r="86">
      <c r="G86" s="3">
        <f>IF(A86="","",(C86-D86)-(E86-F86))</f>
        <v/>
      </c>
      <c r="H86" s="4">
        <f>IF(OR(A86="",(E86-F86)=0),"",G86/ABS(E86-F86))</f>
        <v/>
      </c>
      <c r="I86">
        <f>IF(A86="","",IF(ABS(G86)&gt;=$B$1,"Oui",""))</f>
        <v/>
      </c>
    </row>
    <row r="87">
      <c r="G87" s="3">
        <f>IF(A87="","",(C87-D87)-(E87-F87))</f>
        <v/>
      </c>
      <c r="H87" s="4">
        <f>IF(OR(A87="",(E87-F87)=0),"",G87/ABS(E87-F87))</f>
        <v/>
      </c>
      <c r="I87">
        <f>IF(A87="","",IF(ABS(G87)&gt;=$B$1,"Oui",""))</f>
        <v/>
      </c>
    </row>
    <row r="88">
      <c r="G88" s="3">
        <f>IF(A88="","",(C88-D88)-(E88-F88))</f>
        <v/>
      </c>
      <c r="H88" s="4">
        <f>IF(OR(A88="",(E88-F88)=0),"",G88/ABS(E88-F88))</f>
        <v/>
      </c>
      <c r="I88">
        <f>IF(A88="","",IF(ABS(G88)&gt;=$B$1,"Oui",""))</f>
        <v/>
      </c>
    </row>
    <row r="89">
      <c r="G89" s="3">
        <f>IF(A89="","",(C89-D89)-(E89-F89))</f>
        <v/>
      </c>
      <c r="H89" s="4">
        <f>IF(OR(A89="",(E89-F89)=0),"",G89/ABS(E89-F89))</f>
        <v/>
      </c>
      <c r="I89">
        <f>IF(A89="","",IF(ABS(G89)&gt;=$B$1,"Oui",""))</f>
        <v/>
      </c>
    </row>
    <row r="90">
      <c r="G90" s="3">
        <f>IF(A90="","",(C90-D90)-(E90-F90))</f>
        <v/>
      </c>
      <c r="H90" s="4">
        <f>IF(OR(A90="",(E90-F90)=0),"",G90/ABS(E90-F90))</f>
        <v/>
      </c>
      <c r="I90">
        <f>IF(A90="","",IF(ABS(G90)&gt;=$B$1,"Oui",""))</f>
        <v/>
      </c>
    </row>
    <row r="91">
      <c r="G91" s="3">
        <f>IF(A91="","",(C91-D91)-(E91-F91))</f>
        <v/>
      </c>
      <c r="H91" s="4">
        <f>IF(OR(A91="",(E91-F91)=0),"",G91/ABS(E91-F91))</f>
        <v/>
      </c>
      <c r="I91">
        <f>IF(A91="","",IF(ABS(G91)&gt;=$B$1,"Oui",""))</f>
        <v/>
      </c>
    </row>
    <row r="92">
      <c r="G92" s="3">
        <f>IF(A92="","",(C92-D92)-(E92-F92))</f>
        <v/>
      </c>
      <c r="H92" s="4">
        <f>IF(OR(A92="",(E92-F92)=0),"",G92/ABS(E92-F92))</f>
        <v/>
      </c>
      <c r="I92">
        <f>IF(A92="","",IF(ABS(G92)&gt;=$B$1,"Oui",""))</f>
        <v/>
      </c>
    </row>
    <row r="93">
      <c r="G93" s="3">
        <f>IF(A93="","",(C93-D93)-(E93-F93))</f>
        <v/>
      </c>
      <c r="H93" s="4">
        <f>IF(OR(A93="",(E93-F93)=0),"",G93/ABS(E93-F93))</f>
        <v/>
      </c>
      <c r="I93">
        <f>IF(A93="","",IF(ABS(G93)&gt;=$B$1,"Oui",""))</f>
        <v/>
      </c>
    </row>
    <row r="94">
      <c r="G94" s="3">
        <f>IF(A94="","",(C94-D94)-(E94-F94))</f>
        <v/>
      </c>
      <c r="H94" s="4">
        <f>IF(OR(A94="",(E94-F94)=0),"",G94/ABS(E94-F94))</f>
        <v/>
      </c>
      <c r="I94">
        <f>IF(A94="","",IF(ABS(G94)&gt;=$B$1,"Oui",""))</f>
        <v/>
      </c>
    </row>
    <row r="95">
      <c r="G95" s="3">
        <f>IF(A95="","",(C95-D95)-(E95-F95))</f>
        <v/>
      </c>
      <c r="H95" s="4">
        <f>IF(OR(A95="",(E95-F95)=0),"",G95/ABS(E95-F95))</f>
        <v/>
      </c>
      <c r="I95">
        <f>IF(A95="","",IF(ABS(G95)&gt;=$B$1,"Oui",""))</f>
        <v/>
      </c>
    </row>
    <row r="96">
      <c r="G96" s="3">
        <f>IF(A96="","",(C96-D96)-(E96-F96))</f>
        <v/>
      </c>
      <c r="H96" s="4">
        <f>IF(OR(A96="",(E96-F96)=0),"",G96/ABS(E96-F96))</f>
        <v/>
      </c>
      <c r="I96">
        <f>IF(A96="","",IF(ABS(G96)&gt;=$B$1,"Oui",""))</f>
        <v/>
      </c>
    </row>
    <row r="97">
      <c r="G97" s="3">
        <f>IF(A97="","",(C97-D97)-(E97-F97))</f>
        <v/>
      </c>
      <c r="H97" s="4">
        <f>IF(OR(A97="",(E97-F97)=0),"",G97/ABS(E97-F97))</f>
        <v/>
      </c>
      <c r="I97">
        <f>IF(A97="","",IF(ABS(G97)&gt;=$B$1,"Oui",""))</f>
        <v/>
      </c>
    </row>
    <row r="98">
      <c r="G98" s="3">
        <f>IF(A98="","",(C98-D98)-(E98-F98))</f>
        <v/>
      </c>
      <c r="H98" s="4">
        <f>IF(OR(A98="",(E98-F98)=0),"",G98/ABS(E98-F98))</f>
        <v/>
      </c>
      <c r="I98">
        <f>IF(A98="","",IF(ABS(G98)&gt;=$B$1,"Oui",""))</f>
        <v/>
      </c>
    </row>
    <row r="99">
      <c r="G99" s="3">
        <f>IF(A99="","",(C99-D99)-(E99-F99))</f>
        <v/>
      </c>
      <c r="H99" s="4">
        <f>IF(OR(A99="",(E99-F99)=0),"",G99/ABS(E99-F99))</f>
        <v/>
      </c>
      <c r="I99">
        <f>IF(A99="","",IF(ABS(G99)&gt;=$B$1,"Oui",""))</f>
        <v/>
      </c>
    </row>
    <row r="100">
      <c r="G100" s="3">
        <f>IF(A100="","",(C100-D100)-(E100-F100))</f>
        <v/>
      </c>
      <c r="H100" s="4">
        <f>IF(OR(A100="",(E100-F100)=0),"",G100/ABS(E100-F100))</f>
        <v/>
      </c>
      <c r="I100">
        <f>IF(A100="","",IF(ABS(G100)&gt;=$B$1,"Oui",""))</f>
        <v/>
      </c>
    </row>
    <row r="101">
      <c r="G101" s="3">
        <f>IF(A101="","",(C101-D101)-(E101-F101))</f>
        <v/>
      </c>
      <c r="H101" s="4">
        <f>IF(OR(A101="",(E101-F101)=0),"",G101/ABS(E101-F101))</f>
        <v/>
      </c>
      <c r="I101">
        <f>IF(A101="","",IF(ABS(G101)&gt;=$B$1,"Oui",""))</f>
        <v/>
      </c>
    </row>
    <row r="102">
      <c r="G102" s="3">
        <f>IF(A102="","",(C102-D102)-(E102-F102))</f>
        <v/>
      </c>
      <c r="H102" s="4">
        <f>IF(OR(A102="",(E102-F102)=0),"",G102/ABS(E102-F102))</f>
        <v/>
      </c>
      <c r="I102">
        <f>IF(A102="","",IF(ABS(G102)&gt;=$B$1,"Oui",""))</f>
        <v/>
      </c>
    </row>
    <row r="103">
      <c r="G103" s="3">
        <f>IF(A103="","",(C103-D103)-(E103-F103))</f>
        <v/>
      </c>
      <c r="H103" s="4">
        <f>IF(OR(A103="",(E103-F103)=0),"",G103/ABS(E103-F103))</f>
        <v/>
      </c>
      <c r="I103">
        <f>IF(A103="","",IF(ABS(G103)&gt;=$B$1,"Oui",""))</f>
        <v/>
      </c>
    </row>
    <row r="104">
      <c r="G104" s="3">
        <f>IF(A104="","",(C104-D104)-(E104-F104))</f>
        <v/>
      </c>
      <c r="H104" s="4">
        <f>IF(OR(A104="",(E104-F104)=0),"",G104/ABS(E104-F104))</f>
        <v/>
      </c>
      <c r="I104">
        <f>IF(A104="","",IF(ABS(G104)&gt;=$B$1,"Oui",""))</f>
        <v/>
      </c>
    </row>
    <row r="105">
      <c r="G105" s="3">
        <f>IF(A105="","",(C105-D105)-(E105-F105))</f>
        <v/>
      </c>
      <c r="H105" s="4">
        <f>IF(OR(A105="",(E105-F105)=0),"",G105/ABS(E105-F105))</f>
        <v/>
      </c>
      <c r="I105">
        <f>IF(A105="","",IF(ABS(G105)&gt;=$B$1,"Oui",""))</f>
        <v/>
      </c>
    </row>
    <row r="106">
      <c r="G106" s="3">
        <f>IF(A106="","",(C106-D106)-(E106-F106))</f>
        <v/>
      </c>
      <c r="H106" s="4">
        <f>IF(OR(A106="",(E106-F106)=0),"",G106/ABS(E106-F106))</f>
        <v/>
      </c>
      <c r="I106">
        <f>IF(A106="","",IF(ABS(G106)&gt;=$B$1,"Oui",""))</f>
        <v/>
      </c>
    </row>
    <row r="107">
      <c r="G107" s="3">
        <f>IF(A107="","",(C107-D107)-(E107-F107))</f>
        <v/>
      </c>
      <c r="H107" s="4">
        <f>IF(OR(A107="",(E107-F107)=0),"",G107/ABS(E107-F107))</f>
        <v/>
      </c>
      <c r="I107">
        <f>IF(A107="","",IF(ABS(G107)&gt;=$B$1,"Oui",""))</f>
        <v/>
      </c>
    </row>
    <row r="108">
      <c r="G108" s="3">
        <f>IF(A108="","",(C108-D108)-(E108-F108))</f>
        <v/>
      </c>
      <c r="H108" s="4">
        <f>IF(OR(A108="",(E108-F108)=0),"",G108/ABS(E108-F108))</f>
        <v/>
      </c>
      <c r="I108">
        <f>IF(A108="","",IF(ABS(G108)&gt;=$B$1,"Oui",""))</f>
        <v/>
      </c>
    </row>
    <row r="109">
      <c r="G109" s="3">
        <f>IF(A109="","",(C109-D109)-(E109-F109))</f>
        <v/>
      </c>
      <c r="H109" s="4">
        <f>IF(OR(A109="",(E109-F109)=0),"",G109/ABS(E109-F109))</f>
        <v/>
      </c>
      <c r="I109">
        <f>IF(A109="","",IF(ABS(G109)&gt;=$B$1,"Oui",""))</f>
        <v/>
      </c>
    </row>
    <row r="110">
      <c r="G110" s="3">
        <f>IF(A110="","",(C110-D110)-(E110-F110))</f>
        <v/>
      </c>
      <c r="H110" s="4">
        <f>IF(OR(A110="",(E110-F110)=0),"",G110/ABS(E110-F110))</f>
        <v/>
      </c>
      <c r="I110">
        <f>IF(A110="","",IF(ABS(G110)&gt;=$B$1,"Oui",""))</f>
        <v/>
      </c>
    </row>
    <row r="111">
      <c r="G111" s="3">
        <f>IF(A111="","",(C111-D111)-(E111-F111))</f>
        <v/>
      </c>
      <c r="H111" s="4">
        <f>IF(OR(A111="",(E111-F111)=0),"",G111/ABS(E111-F111))</f>
        <v/>
      </c>
      <c r="I111">
        <f>IF(A111="","",IF(ABS(G111)&gt;=$B$1,"Oui",""))</f>
        <v/>
      </c>
    </row>
    <row r="112">
      <c r="G112" s="3">
        <f>IF(A112="","",(C112-D112)-(E112-F112))</f>
        <v/>
      </c>
      <c r="H112" s="4">
        <f>IF(OR(A112="",(E112-F112)=0),"",G112/ABS(E112-F112))</f>
        <v/>
      </c>
      <c r="I112">
        <f>IF(A112="","",IF(ABS(G112)&gt;=$B$1,"Oui",""))</f>
        <v/>
      </c>
    </row>
    <row r="113">
      <c r="G113" s="3">
        <f>IF(A113="","",(C113-D113)-(E113-F113))</f>
        <v/>
      </c>
      <c r="H113" s="4">
        <f>IF(OR(A113="",(E113-F113)=0),"",G113/ABS(E113-F113))</f>
        <v/>
      </c>
      <c r="I113">
        <f>IF(A113="","",IF(ABS(G113)&gt;=$B$1,"Oui",""))</f>
        <v/>
      </c>
    </row>
    <row r="114">
      <c r="G114" s="3">
        <f>IF(A114="","",(C114-D114)-(E114-F114))</f>
        <v/>
      </c>
      <c r="H114" s="4">
        <f>IF(OR(A114="",(E114-F114)=0),"",G114/ABS(E114-F114))</f>
        <v/>
      </c>
      <c r="I114">
        <f>IF(A114="","",IF(ABS(G114)&gt;=$B$1,"Oui",""))</f>
        <v/>
      </c>
    </row>
    <row r="115">
      <c r="G115" s="3">
        <f>IF(A115="","",(C115-D115)-(E115-F115))</f>
        <v/>
      </c>
      <c r="H115" s="4">
        <f>IF(OR(A115="",(E115-F115)=0),"",G115/ABS(E115-F115))</f>
        <v/>
      </c>
      <c r="I115">
        <f>IF(A115="","",IF(ABS(G115)&gt;=$B$1,"Oui",""))</f>
        <v/>
      </c>
    </row>
    <row r="116">
      <c r="G116" s="3">
        <f>IF(A116="","",(C116-D116)-(E116-F116))</f>
        <v/>
      </c>
      <c r="H116" s="4">
        <f>IF(OR(A116="",(E116-F116)=0),"",G116/ABS(E116-F116))</f>
        <v/>
      </c>
      <c r="I116">
        <f>IF(A116="","",IF(ABS(G116)&gt;=$B$1,"Oui",""))</f>
        <v/>
      </c>
    </row>
    <row r="117">
      <c r="G117" s="3">
        <f>IF(A117="","",(C117-D117)-(E117-F117))</f>
        <v/>
      </c>
      <c r="H117" s="4">
        <f>IF(OR(A117="",(E117-F117)=0),"",G117/ABS(E117-F117))</f>
        <v/>
      </c>
      <c r="I117">
        <f>IF(A117="","",IF(ABS(G117)&gt;=$B$1,"Oui",""))</f>
        <v/>
      </c>
    </row>
    <row r="118">
      <c r="G118" s="3">
        <f>IF(A118="","",(C118-D118)-(E118-F118))</f>
        <v/>
      </c>
      <c r="H118" s="4">
        <f>IF(OR(A118="",(E118-F118)=0),"",G118/ABS(E118-F118))</f>
        <v/>
      </c>
      <c r="I118">
        <f>IF(A118="","",IF(ABS(G118)&gt;=$B$1,"Oui",""))</f>
        <v/>
      </c>
    </row>
    <row r="119">
      <c r="G119" s="3">
        <f>IF(A119="","",(C119-D119)-(E119-F119))</f>
        <v/>
      </c>
      <c r="H119" s="4">
        <f>IF(OR(A119="",(E119-F119)=0),"",G119/ABS(E119-F119))</f>
        <v/>
      </c>
      <c r="I119">
        <f>IF(A119="","",IF(ABS(G119)&gt;=$B$1,"Oui",""))</f>
        <v/>
      </c>
    </row>
    <row r="120">
      <c r="G120" s="3">
        <f>IF(A120="","",(C120-D120)-(E120-F120))</f>
        <v/>
      </c>
      <c r="H120" s="4">
        <f>IF(OR(A120="",(E120-F120)=0),"",G120/ABS(E120-F120))</f>
        <v/>
      </c>
      <c r="I120">
        <f>IF(A120="","",IF(ABS(G120)&gt;=$B$1,"Oui",""))</f>
        <v/>
      </c>
    </row>
    <row r="121">
      <c r="G121" s="3">
        <f>IF(A121="","",(C121-D121)-(E121-F121))</f>
        <v/>
      </c>
      <c r="H121" s="4">
        <f>IF(OR(A121="",(E121-F121)=0),"",G121/ABS(E121-F121))</f>
        <v/>
      </c>
      <c r="I121">
        <f>IF(A121="","",IF(ABS(G121)&gt;=$B$1,"Oui",""))</f>
        <v/>
      </c>
    </row>
    <row r="122">
      <c r="G122" s="3">
        <f>IF(A122="","",(C122-D122)-(E122-F122))</f>
        <v/>
      </c>
      <c r="H122" s="4">
        <f>IF(OR(A122="",(E122-F122)=0),"",G122/ABS(E122-F122))</f>
        <v/>
      </c>
      <c r="I122">
        <f>IF(A122="","",IF(ABS(G122)&gt;=$B$1,"Oui",""))</f>
        <v/>
      </c>
    </row>
    <row r="123">
      <c r="G123" s="3">
        <f>IF(A123="","",(C123-D123)-(E123-F123))</f>
        <v/>
      </c>
      <c r="H123" s="4">
        <f>IF(OR(A123="",(E123-F123)=0),"",G123/ABS(E123-F123))</f>
        <v/>
      </c>
      <c r="I123">
        <f>IF(A123="","",IF(ABS(G123)&gt;=$B$1,"Oui",""))</f>
        <v/>
      </c>
    </row>
    <row r="124">
      <c r="G124" s="3">
        <f>IF(A124="","",(C124-D124)-(E124-F124))</f>
        <v/>
      </c>
      <c r="H124" s="4">
        <f>IF(OR(A124="",(E124-F124)=0),"",G124/ABS(E124-F124))</f>
        <v/>
      </c>
      <c r="I124">
        <f>IF(A124="","",IF(ABS(G124)&gt;=$B$1,"Oui",""))</f>
        <v/>
      </c>
    </row>
    <row r="125">
      <c r="G125" s="3">
        <f>IF(A125="","",(C125-D125)-(E125-F125))</f>
        <v/>
      </c>
      <c r="H125" s="4">
        <f>IF(OR(A125="",(E125-F125)=0),"",G125/ABS(E125-F125))</f>
        <v/>
      </c>
      <c r="I125">
        <f>IF(A125="","",IF(ABS(G125)&gt;=$B$1,"Oui",""))</f>
        <v/>
      </c>
    </row>
    <row r="126">
      <c r="G126" s="3">
        <f>IF(A126="","",(C126-D126)-(E126-F126))</f>
        <v/>
      </c>
      <c r="H126" s="4">
        <f>IF(OR(A126="",(E126-F126)=0),"",G126/ABS(E126-F126))</f>
        <v/>
      </c>
      <c r="I126">
        <f>IF(A126="","",IF(ABS(G126)&gt;=$B$1,"Oui",""))</f>
        <v/>
      </c>
    </row>
    <row r="127">
      <c r="G127" s="3">
        <f>IF(A127="","",(C127-D127)-(E127-F127))</f>
        <v/>
      </c>
      <c r="H127" s="4">
        <f>IF(OR(A127="",(E127-F127)=0),"",G127/ABS(E127-F127))</f>
        <v/>
      </c>
      <c r="I127">
        <f>IF(A127="","",IF(ABS(G127)&gt;=$B$1,"Oui",""))</f>
        <v/>
      </c>
    </row>
    <row r="128">
      <c r="G128" s="3">
        <f>IF(A128="","",(C128-D128)-(E128-F128))</f>
        <v/>
      </c>
      <c r="H128" s="4">
        <f>IF(OR(A128="",(E128-F128)=0),"",G128/ABS(E128-F128))</f>
        <v/>
      </c>
      <c r="I128">
        <f>IF(A128="","",IF(ABS(G128)&gt;=$B$1,"Oui",""))</f>
        <v/>
      </c>
    </row>
    <row r="129">
      <c r="G129" s="3">
        <f>IF(A129="","",(C129-D129)-(E129-F129))</f>
        <v/>
      </c>
      <c r="H129" s="4">
        <f>IF(OR(A129="",(E129-F129)=0),"",G129/ABS(E129-F129))</f>
        <v/>
      </c>
      <c r="I129">
        <f>IF(A129="","",IF(ABS(G129)&gt;=$B$1,"Oui",""))</f>
        <v/>
      </c>
    </row>
    <row r="130">
      <c r="G130" s="3">
        <f>IF(A130="","",(C130-D130)-(E130-F130))</f>
        <v/>
      </c>
      <c r="H130" s="4">
        <f>IF(OR(A130="",(E130-F130)=0),"",G130/ABS(E130-F130))</f>
        <v/>
      </c>
      <c r="I130">
        <f>IF(A130="","",IF(ABS(G130)&gt;=$B$1,"Oui",""))</f>
        <v/>
      </c>
    </row>
    <row r="131">
      <c r="G131" s="3">
        <f>IF(A131="","",(C131-D131)-(E131-F131))</f>
        <v/>
      </c>
      <c r="H131" s="4">
        <f>IF(OR(A131="",(E131-F131)=0),"",G131/ABS(E131-F131))</f>
        <v/>
      </c>
      <c r="I131">
        <f>IF(A131="","",IF(ABS(G131)&gt;=$B$1,"Oui",""))</f>
        <v/>
      </c>
    </row>
    <row r="132">
      <c r="G132" s="3">
        <f>IF(A132="","",(C132-D132)-(E132-F132))</f>
        <v/>
      </c>
      <c r="H132" s="4">
        <f>IF(OR(A132="",(E132-F132)=0),"",G132/ABS(E132-F132))</f>
        <v/>
      </c>
      <c r="I132">
        <f>IF(A132="","",IF(ABS(G132)&gt;=$B$1,"Oui",""))</f>
        <v/>
      </c>
    </row>
    <row r="133">
      <c r="G133" s="3">
        <f>IF(A133="","",(C133-D133)-(E133-F133))</f>
        <v/>
      </c>
      <c r="H133" s="4">
        <f>IF(OR(A133="",(E133-F133)=0),"",G133/ABS(E133-F133))</f>
        <v/>
      </c>
      <c r="I133">
        <f>IF(A133="","",IF(ABS(G133)&gt;=$B$1,"Oui",""))</f>
        <v/>
      </c>
    </row>
    <row r="134">
      <c r="G134" s="3">
        <f>IF(A134="","",(C134-D134)-(E134-F134))</f>
        <v/>
      </c>
      <c r="H134" s="4">
        <f>IF(OR(A134="",(E134-F134)=0),"",G134/ABS(E134-F134))</f>
        <v/>
      </c>
      <c r="I134">
        <f>IF(A134="","",IF(ABS(G134)&gt;=$B$1,"Oui",""))</f>
        <v/>
      </c>
    </row>
    <row r="135">
      <c r="G135" s="3">
        <f>IF(A135="","",(C135-D135)-(E135-F135))</f>
        <v/>
      </c>
      <c r="H135" s="4">
        <f>IF(OR(A135="",(E135-F135)=0),"",G135/ABS(E135-F135))</f>
        <v/>
      </c>
      <c r="I135">
        <f>IF(A135="","",IF(ABS(G135)&gt;=$B$1,"Oui",""))</f>
        <v/>
      </c>
    </row>
    <row r="136">
      <c r="G136" s="3">
        <f>IF(A136="","",(C136-D136)-(E136-F136))</f>
        <v/>
      </c>
      <c r="H136" s="4">
        <f>IF(OR(A136="",(E136-F136)=0),"",G136/ABS(E136-F136))</f>
        <v/>
      </c>
      <c r="I136">
        <f>IF(A136="","",IF(ABS(G136)&gt;=$B$1,"Oui",""))</f>
        <v/>
      </c>
    </row>
    <row r="137">
      <c r="G137" s="3">
        <f>IF(A137="","",(C137-D137)-(E137-F137))</f>
        <v/>
      </c>
      <c r="H137" s="4">
        <f>IF(OR(A137="",(E137-F137)=0),"",G137/ABS(E137-F137))</f>
        <v/>
      </c>
      <c r="I137">
        <f>IF(A137="","",IF(ABS(G137)&gt;=$B$1,"Oui",""))</f>
        <v/>
      </c>
    </row>
    <row r="138">
      <c r="G138" s="3">
        <f>IF(A138="","",(C138-D138)-(E138-F138))</f>
        <v/>
      </c>
      <c r="H138" s="4">
        <f>IF(OR(A138="",(E138-F138)=0),"",G138/ABS(E138-F138))</f>
        <v/>
      </c>
      <c r="I138">
        <f>IF(A138="","",IF(ABS(G138)&gt;=$B$1,"Oui",""))</f>
        <v/>
      </c>
    </row>
    <row r="139">
      <c r="G139" s="3">
        <f>IF(A139="","",(C139-D139)-(E139-F139))</f>
        <v/>
      </c>
      <c r="H139" s="4">
        <f>IF(OR(A139="",(E139-F139)=0),"",G139/ABS(E139-F139))</f>
        <v/>
      </c>
      <c r="I139">
        <f>IF(A139="","",IF(ABS(G139)&gt;=$B$1,"Oui",""))</f>
        <v/>
      </c>
    </row>
    <row r="140">
      <c r="G140" s="3">
        <f>IF(A140="","",(C140-D140)-(E140-F140))</f>
        <v/>
      </c>
      <c r="H140" s="4">
        <f>IF(OR(A140="",(E140-F140)=0),"",G140/ABS(E140-F140))</f>
        <v/>
      </c>
      <c r="I140">
        <f>IF(A140="","",IF(ABS(G140)&gt;=$B$1,"Oui",""))</f>
        <v/>
      </c>
    </row>
    <row r="141">
      <c r="G141" s="3">
        <f>IF(A141="","",(C141-D141)-(E141-F141))</f>
        <v/>
      </c>
      <c r="H141" s="4">
        <f>IF(OR(A141="",(E141-F141)=0),"",G141/ABS(E141-F141))</f>
        <v/>
      </c>
      <c r="I141">
        <f>IF(A141="","",IF(ABS(G141)&gt;=$B$1,"Oui",""))</f>
        <v/>
      </c>
    </row>
    <row r="142">
      <c r="G142" s="3">
        <f>IF(A142="","",(C142-D142)-(E142-F142))</f>
        <v/>
      </c>
      <c r="H142" s="4">
        <f>IF(OR(A142="",(E142-F142)=0),"",G142/ABS(E142-F142))</f>
        <v/>
      </c>
      <c r="I142">
        <f>IF(A142="","",IF(ABS(G142)&gt;=$B$1,"Oui",""))</f>
        <v/>
      </c>
    </row>
    <row r="143">
      <c r="G143" s="3">
        <f>IF(A143="","",(C143-D143)-(E143-F143))</f>
        <v/>
      </c>
      <c r="H143" s="4">
        <f>IF(OR(A143="",(E143-F143)=0),"",G143/ABS(E143-F143))</f>
        <v/>
      </c>
      <c r="I143">
        <f>IF(A143="","",IF(ABS(G143)&gt;=$B$1,"Oui",""))</f>
        <v/>
      </c>
    </row>
    <row r="144">
      <c r="G144" s="3">
        <f>IF(A144="","",(C144-D144)-(E144-F144))</f>
        <v/>
      </c>
      <c r="H144" s="4">
        <f>IF(OR(A144="",(E144-F144)=0),"",G144/ABS(E144-F144))</f>
        <v/>
      </c>
      <c r="I144">
        <f>IF(A144="","",IF(ABS(G144)&gt;=$B$1,"Oui",""))</f>
        <v/>
      </c>
    </row>
    <row r="145">
      <c r="G145" s="3">
        <f>IF(A145="","",(C145-D145)-(E145-F145))</f>
        <v/>
      </c>
      <c r="H145" s="4">
        <f>IF(OR(A145="",(E145-F145)=0),"",G145/ABS(E145-F145))</f>
        <v/>
      </c>
      <c r="I145">
        <f>IF(A145="","",IF(ABS(G145)&gt;=$B$1,"Oui",""))</f>
        <v/>
      </c>
    </row>
    <row r="146">
      <c r="G146" s="3">
        <f>IF(A146="","",(C146-D146)-(E146-F146))</f>
        <v/>
      </c>
      <c r="H146" s="4">
        <f>IF(OR(A146="",(E146-F146)=0),"",G146/ABS(E146-F146))</f>
        <v/>
      </c>
      <c r="I146">
        <f>IF(A146="","",IF(ABS(G146)&gt;=$B$1,"Oui",""))</f>
        <v/>
      </c>
    </row>
    <row r="147">
      <c r="G147" s="3">
        <f>IF(A147="","",(C147-D147)-(E147-F147))</f>
        <v/>
      </c>
      <c r="H147" s="4">
        <f>IF(OR(A147="",(E147-F147)=0),"",G147/ABS(E147-F147))</f>
        <v/>
      </c>
      <c r="I147">
        <f>IF(A147="","",IF(ABS(G147)&gt;=$B$1,"Oui",""))</f>
        <v/>
      </c>
    </row>
    <row r="148">
      <c r="G148" s="3">
        <f>IF(A148="","",(C148-D148)-(E148-F148))</f>
        <v/>
      </c>
      <c r="H148" s="4">
        <f>IF(OR(A148="",(E148-F148)=0),"",G148/ABS(E148-F148))</f>
        <v/>
      </c>
      <c r="I148">
        <f>IF(A148="","",IF(ABS(G148)&gt;=$B$1,"Oui",""))</f>
        <v/>
      </c>
    </row>
    <row r="149">
      <c r="G149" s="3">
        <f>IF(A149="","",(C149-D149)-(E149-F149))</f>
        <v/>
      </c>
      <c r="H149" s="4">
        <f>IF(OR(A149="",(E149-F149)=0),"",G149/ABS(E149-F149))</f>
        <v/>
      </c>
      <c r="I149">
        <f>IF(A149="","",IF(ABS(G149)&gt;=$B$1,"Oui",""))</f>
        <v/>
      </c>
    </row>
    <row r="150">
      <c r="G150" s="3">
        <f>IF(A150="","",(C150-D150)-(E150-F150))</f>
        <v/>
      </c>
      <c r="H150" s="4">
        <f>IF(OR(A150="",(E150-F150)=0),"",G150/ABS(E150-F150))</f>
        <v/>
      </c>
      <c r="I150">
        <f>IF(A150="","",IF(ABS(G150)&gt;=$B$1,"Oui",""))</f>
        <v/>
      </c>
    </row>
    <row r="151">
      <c r="G151" s="3">
        <f>IF(A151="","",(C151-D151)-(E151-F151))</f>
        <v/>
      </c>
      <c r="H151" s="4">
        <f>IF(OR(A151="",(E151-F151)=0),"",G151/ABS(E151-F151))</f>
        <v/>
      </c>
      <c r="I151">
        <f>IF(A151="","",IF(ABS(G151)&gt;=$B$1,"Oui",""))</f>
        <v/>
      </c>
    </row>
    <row r="152">
      <c r="G152" s="3">
        <f>IF(A152="","",(C152-D152)-(E152-F152))</f>
        <v/>
      </c>
      <c r="H152" s="4">
        <f>IF(OR(A152="",(E152-F152)=0),"",G152/ABS(E152-F152))</f>
        <v/>
      </c>
      <c r="I152">
        <f>IF(A152="","",IF(ABS(G152)&gt;=$B$1,"Oui",""))</f>
        <v/>
      </c>
    </row>
    <row r="153">
      <c r="G153" s="3">
        <f>IF(A153="","",(C153-D153)-(E153-F153))</f>
        <v/>
      </c>
      <c r="H153" s="4">
        <f>IF(OR(A153="",(E153-F153)=0),"",G153/ABS(E153-F153))</f>
        <v/>
      </c>
      <c r="I153">
        <f>IF(A153="","",IF(ABS(G153)&gt;=$B$1,"Oui",""))</f>
        <v/>
      </c>
    </row>
    <row r="154">
      <c r="G154" s="3">
        <f>IF(A154="","",(C154-D154)-(E154-F154))</f>
        <v/>
      </c>
      <c r="H154" s="4">
        <f>IF(OR(A154="",(E154-F154)=0),"",G154/ABS(E154-F154))</f>
        <v/>
      </c>
      <c r="I154">
        <f>IF(A154="","",IF(ABS(G154)&gt;=$B$1,"Oui",""))</f>
        <v/>
      </c>
    </row>
    <row r="155">
      <c r="G155" s="3">
        <f>IF(A155="","",(C155-D155)-(E155-F155))</f>
        <v/>
      </c>
      <c r="H155" s="4">
        <f>IF(OR(A155="",(E155-F155)=0),"",G155/ABS(E155-F155))</f>
        <v/>
      </c>
      <c r="I155">
        <f>IF(A155="","",IF(ABS(G155)&gt;=$B$1,"Oui",""))</f>
        <v/>
      </c>
    </row>
    <row r="156">
      <c r="G156" s="3">
        <f>IF(A156="","",(C156-D156)-(E156-F156))</f>
        <v/>
      </c>
      <c r="H156" s="4">
        <f>IF(OR(A156="",(E156-F156)=0),"",G156/ABS(E156-F156))</f>
        <v/>
      </c>
      <c r="I156">
        <f>IF(A156="","",IF(ABS(G156)&gt;=$B$1,"Oui",""))</f>
        <v/>
      </c>
    </row>
    <row r="157">
      <c r="G157" s="3">
        <f>IF(A157="","",(C157-D157)-(E157-F157))</f>
        <v/>
      </c>
      <c r="H157" s="4">
        <f>IF(OR(A157="",(E157-F157)=0),"",G157/ABS(E157-F157))</f>
        <v/>
      </c>
      <c r="I157">
        <f>IF(A157="","",IF(ABS(G157)&gt;=$B$1,"Oui",""))</f>
        <v/>
      </c>
    </row>
    <row r="158">
      <c r="G158" s="3">
        <f>IF(A158="","",(C158-D158)-(E158-F158))</f>
        <v/>
      </c>
      <c r="H158" s="4">
        <f>IF(OR(A158="",(E158-F158)=0),"",G158/ABS(E158-F158))</f>
        <v/>
      </c>
      <c r="I158">
        <f>IF(A158="","",IF(ABS(G158)&gt;=$B$1,"Oui",""))</f>
        <v/>
      </c>
    </row>
    <row r="159">
      <c r="G159" s="3">
        <f>IF(A159="","",(C159-D159)-(E159-F159))</f>
        <v/>
      </c>
      <c r="H159" s="4">
        <f>IF(OR(A159="",(E159-F159)=0),"",G159/ABS(E159-F159))</f>
        <v/>
      </c>
      <c r="I159">
        <f>IF(A159="","",IF(ABS(G159)&gt;=$B$1,"Oui",""))</f>
        <v/>
      </c>
    </row>
    <row r="160">
      <c r="G160" s="3">
        <f>IF(A160="","",(C160-D160)-(E160-F160))</f>
        <v/>
      </c>
      <c r="H160" s="4">
        <f>IF(OR(A160="",(E160-F160)=0),"",G160/ABS(E160-F160))</f>
        <v/>
      </c>
      <c r="I160">
        <f>IF(A160="","",IF(ABS(G160)&gt;=$B$1,"Oui",""))</f>
        <v/>
      </c>
    </row>
    <row r="161">
      <c r="G161" s="3">
        <f>IF(A161="","",(C161-D161)-(E161-F161))</f>
        <v/>
      </c>
      <c r="H161" s="4">
        <f>IF(OR(A161="",(E161-F161)=0),"",G161/ABS(E161-F161))</f>
        <v/>
      </c>
      <c r="I161">
        <f>IF(A161="","",IF(ABS(G161)&gt;=$B$1,"Oui",""))</f>
        <v/>
      </c>
    </row>
    <row r="162">
      <c r="G162" s="3">
        <f>IF(A162="","",(C162-D162)-(E162-F162))</f>
        <v/>
      </c>
      <c r="H162" s="4">
        <f>IF(OR(A162="",(E162-F162)=0),"",G162/ABS(E162-F162))</f>
        <v/>
      </c>
      <c r="I162">
        <f>IF(A162="","",IF(ABS(G162)&gt;=$B$1,"Oui",""))</f>
        <v/>
      </c>
    </row>
    <row r="163">
      <c r="G163" s="3">
        <f>IF(A163="","",(C163-D163)-(E163-F163))</f>
        <v/>
      </c>
      <c r="H163" s="4">
        <f>IF(OR(A163="",(E163-F163)=0),"",G163/ABS(E163-F163))</f>
        <v/>
      </c>
      <c r="I163">
        <f>IF(A163="","",IF(ABS(G163)&gt;=$B$1,"Oui",""))</f>
        <v/>
      </c>
    </row>
    <row r="164">
      <c r="G164" s="3">
        <f>IF(A164="","",(C164-D164)-(E164-F164))</f>
        <v/>
      </c>
      <c r="H164" s="4">
        <f>IF(OR(A164="",(E164-F164)=0),"",G164/ABS(E164-F164))</f>
        <v/>
      </c>
      <c r="I164">
        <f>IF(A164="","",IF(ABS(G164)&gt;=$B$1,"Oui",""))</f>
        <v/>
      </c>
    </row>
    <row r="165">
      <c r="G165" s="3">
        <f>IF(A165="","",(C165-D165)-(E165-F165))</f>
        <v/>
      </c>
      <c r="H165" s="4">
        <f>IF(OR(A165="",(E165-F165)=0),"",G165/ABS(E165-F165))</f>
        <v/>
      </c>
      <c r="I165">
        <f>IF(A165="","",IF(ABS(G165)&gt;=$B$1,"Oui",""))</f>
        <v/>
      </c>
    </row>
    <row r="166">
      <c r="G166" s="3">
        <f>IF(A166="","",(C166-D166)-(E166-F166))</f>
        <v/>
      </c>
      <c r="H166" s="4">
        <f>IF(OR(A166="",(E166-F166)=0),"",G166/ABS(E166-F166))</f>
        <v/>
      </c>
      <c r="I166">
        <f>IF(A166="","",IF(ABS(G166)&gt;=$B$1,"Oui",""))</f>
        <v/>
      </c>
    </row>
    <row r="167">
      <c r="G167" s="3">
        <f>IF(A167="","",(C167-D167)-(E167-F167))</f>
        <v/>
      </c>
      <c r="H167" s="4">
        <f>IF(OR(A167="",(E167-F167)=0),"",G167/ABS(E167-F167))</f>
        <v/>
      </c>
      <c r="I167">
        <f>IF(A167="","",IF(ABS(G167)&gt;=$B$1,"Oui",""))</f>
        <v/>
      </c>
    </row>
    <row r="168">
      <c r="G168" s="3">
        <f>IF(A168="","",(C168-D168)-(E168-F168))</f>
        <v/>
      </c>
      <c r="H168" s="4">
        <f>IF(OR(A168="",(E168-F168)=0),"",G168/ABS(E168-F168))</f>
        <v/>
      </c>
      <c r="I168">
        <f>IF(A168="","",IF(ABS(G168)&gt;=$B$1,"Oui",""))</f>
        <v/>
      </c>
    </row>
    <row r="169">
      <c r="G169" s="3">
        <f>IF(A169="","",(C169-D169)-(E169-F169))</f>
        <v/>
      </c>
      <c r="H169" s="4">
        <f>IF(OR(A169="",(E169-F169)=0),"",G169/ABS(E169-F169))</f>
        <v/>
      </c>
      <c r="I169">
        <f>IF(A169="","",IF(ABS(G169)&gt;=$B$1,"Oui",""))</f>
        <v/>
      </c>
    </row>
    <row r="170">
      <c r="G170" s="3">
        <f>IF(A170="","",(C170-D170)-(E170-F170))</f>
        <v/>
      </c>
      <c r="H170" s="4">
        <f>IF(OR(A170="",(E170-F170)=0),"",G170/ABS(E170-F170))</f>
        <v/>
      </c>
      <c r="I170">
        <f>IF(A170="","",IF(ABS(G170)&gt;=$B$1,"Oui",""))</f>
        <v/>
      </c>
    </row>
    <row r="171">
      <c r="G171" s="3">
        <f>IF(A171="","",(C171-D171)-(E171-F171))</f>
        <v/>
      </c>
      <c r="H171" s="4">
        <f>IF(OR(A171="",(E171-F171)=0),"",G171/ABS(E171-F171))</f>
        <v/>
      </c>
      <c r="I171">
        <f>IF(A171="","",IF(ABS(G171)&gt;=$B$1,"Oui",""))</f>
        <v/>
      </c>
    </row>
    <row r="172">
      <c r="G172" s="3">
        <f>IF(A172="","",(C172-D172)-(E172-F172))</f>
        <v/>
      </c>
      <c r="H172" s="4">
        <f>IF(OR(A172="",(E172-F172)=0),"",G172/ABS(E172-F172))</f>
        <v/>
      </c>
      <c r="I172">
        <f>IF(A172="","",IF(ABS(G172)&gt;=$B$1,"Oui",""))</f>
        <v/>
      </c>
    </row>
    <row r="173">
      <c r="G173" s="3">
        <f>IF(A173="","",(C173-D173)-(E173-F173))</f>
        <v/>
      </c>
      <c r="H173" s="4">
        <f>IF(OR(A173="",(E173-F173)=0),"",G173/ABS(E173-F173))</f>
        <v/>
      </c>
      <c r="I173">
        <f>IF(A173="","",IF(ABS(G173)&gt;=$B$1,"Oui",""))</f>
        <v/>
      </c>
    </row>
    <row r="174">
      <c r="G174" s="3">
        <f>IF(A174="","",(C174-D174)-(E174-F174))</f>
        <v/>
      </c>
      <c r="H174" s="4">
        <f>IF(OR(A174="",(E174-F174)=0),"",G174/ABS(E174-F174))</f>
        <v/>
      </c>
      <c r="I174">
        <f>IF(A174="","",IF(ABS(G174)&gt;=$B$1,"Oui",""))</f>
        <v/>
      </c>
    </row>
    <row r="175">
      <c r="G175" s="3">
        <f>IF(A175="","",(C175-D175)-(E175-F175))</f>
        <v/>
      </c>
      <c r="H175" s="4">
        <f>IF(OR(A175="",(E175-F175)=0),"",G175/ABS(E175-F175))</f>
        <v/>
      </c>
      <c r="I175">
        <f>IF(A175="","",IF(ABS(G175)&gt;=$B$1,"Oui",""))</f>
        <v/>
      </c>
    </row>
    <row r="176">
      <c r="G176" s="3">
        <f>IF(A176="","",(C176-D176)-(E176-F176))</f>
        <v/>
      </c>
      <c r="H176" s="4">
        <f>IF(OR(A176="",(E176-F176)=0),"",G176/ABS(E176-F176))</f>
        <v/>
      </c>
      <c r="I176">
        <f>IF(A176="","",IF(ABS(G176)&gt;=$B$1,"Oui",""))</f>
        <v/>
      </c>
    </row>
    <row r="177">
      <c r="G177" s="3">
        <f>IF(A177="","",(C177-D177)-(E177-F177))</f>
        <v/>
      </c>
      <c r="H177" s="4">
        <f>IF(OR(A177="",(E177-F177)=0),"",G177/ABS(E177-F177))</f>
        <v/>
      </c>
      <c r="I177">
        <f>IF(A177="","",IF(ABS(G177)&gt;=$B$1,"Oui",""))</f>
        <v/>
      </c>
    </row>
    <row r="178">
      <c r="G178" s="3">
        <f>IF(A178="","",(C178-D178)-(E178-F178))</f>
        <v/>
      </c>
      <c r="H178" s="4">
        <f>IF(OR(A178="",(E178-F178)=0),"",G178/ABS(E178-F178))</f>
        <v/>
      </c>
      <c r="I178">
        <f>IF(A178="","",IF(ABS(G178)&gt;=$B$1,"Oui",""))</f>
        <v/>
      </c>
    </row>
    <row r="179">
      <c r="G179" s="3">
        <f>IF(A179="","",(C179-D179)-(E179-F179))</f>
        <v/>
      </c>
      <c r="H179" s="4">
        <f>IF(OR(A179="",(E179-F179)=0),"",G179/ABS(E179-F179))</f>
        <v/>
      </c>
      <c r="I179">
        <f>IF(A179="","",IF(ABS(G179)&gt;=$B$1,"Oui",""))</f>
        <v/>
      </c>
    </row>
    <row r="180">
      <c r="G180" s="3">
        <f>IF(A180="","",(C180-D180)-(E180-F180))</f>
        <v/>
      </c>
      <c r="H180" s="4">
        <f>IF(OR(A180="",(E180-F180)=0),"",G180/ABS(E180-F180))</f>
        <v/>
      </c>
      <c r="I180">
        <f>IF(A180="","",IF(ABS(G180)&gt;=$B$1,"Oui",""))</f>
        <v/>
      </c>
    </row>
    <row r="181">
      <c r="G181" s="3">
        <f>IF(A181="","",(C181-D181)-(E181-F181))</f>
        <v/>
      </c>
      <c r="H181" s="4">
        <f>IF(OR(A181="",(E181-F181)=0),"",G181/ABS(E181-F181))</f>
        <v/>
      </c>
      <c r="I181">
        <f>IF(A181="","",IF(ABS(G181)&gt;=$B$1,"Oui",""))</f>
        <v/>
      </c>
    </row>
    <row r="182">
      <c r="G182" s="3">
        <f>IF(A182="","",(C182-D182)-(E182-F182))</f>
        <v/>
      </c>
      <c r="H182" s="4">
        <f>IF(OR(A182="",(E182-F182)=0),"",G182/ABS(E182-F182))</f>
        <v/>
      </c>
      <c r="I182">
        <f>IF(A182="","",IF(ABS(G182)&gt;=$B$1,"Oui",""))</f>
        <v/>
      </c>
    </row>
    <row r="183">
      <c r="G183" s="3">
        <f>IF(A183="","",(C183-D183)-(E183-F183))</f>
        <v/>
      </c>
      <c r="H183" s="4">
        <f>IF(OR(A183="",(E183-F183)=0),"",G183/ABS(E183-F183))</f>
        <v/>
      </c>
      <c r="I183">
        <f>IF(A183="","",IF(ABS(G183)&gt;=$B$1,"Oui",""))</f>
        <v/>
      </c>
    </row>
    <row r="184">
      <c r="G184" s="3">
        <f>IF(A184="","",(C184-D184)-(E184-F184))</f>
        <v/>
      </c>
      <c r="H184" s="4">
        <f>IF(OR(A184="",(E184-F184)=0),"",G184/ABS(E184-F184))</f>
        <v/>
      </c>
      <c r="I184">
        <f>IF(A184="","",IF(ABS(G184)&gt;=$B$1,"Oui",""))</f>
        <v/>
      </c>
    </row>
    <row r="185">
      <c r="G185" s="3">
        <f>IF(A185="","",(C185-D185)-(E185-F185))</f>
        <v/>
      </c>
      <c r="H185" s="4">
        <f>IF(OR(A185="",(E185-F185)=0),"",G185/ABS(E185-F185))</f>
        <v/>
      </c>
      <c r="I185">
        <f>IF(A185="","",IF(ABS(G185)&gt;=$B$1,"Oui",""))</f>
        <v/>
      </c>
    </row>
    <row r="186">
      <c r="G186" s="3">
        <f>IF(A186="","",(C186-D186)-(E186-F186))</f>
        <v/>
      </c>
      <c r="H186" s="4">
        <f>IF(OR(A186="",(E186-F186)=0),"",G186/ABS(E186-F186))</f>
        <v/>
      </c>
      <c r="I186">
        <f>IF(A186="","",IF(ABS(G186)&gt;=$B$1,"Oui",""))</f>
        <v/>
      </c>
    </row>
    <row r="187">
      <c r="G187" s="3">
        <f>IF(A187="","",(C187-D187)-(E187-F187))</f>
        <v/>
      </c>
      <c r="H187" s="4">
        <f>IF(OR(A187="",(E187-F187)=0),"",G187/ABS(E187-F187))</f>
        <v/>
      </c>
      <c r="I187">
        <f>IF(A187="","",IF(ABS(G187)&gt;=$B$1,"Oui",""))</f>
        <v/>
      </c>
    </row>
    <row r="188">
      <c r="G188" s="3">
        <f>IF(A188="","",(C188-D188)-(E188-F188))</f>
        <v/>
      </c>
      <c r="H188" s="4">
        <f>IF(OR(A188="",(E188-F188)=0),"",G188/ABS(E188-F188))</f>
        <v/>
      </c>
      <c r="I188">
        <f>IF(A188="","",IF(ABS(G188)&gt;=$B$1,"Oui",""))</f>
        <v/>
      </c>
    </row>
    <row r="189">
      <c r="G189" s="3">
        <f>IF(A189="","",(C189-D189)-(E189-F189))</f>
        <v/>
      </c>
      <c r="H189" s="4">
        <f>IF(OR(A189="",(E189-F189)=0),"",G189/ABS(E189-F189))</f>
        <v/>
      </c>
      <c r="I189">
        <f>IF(A189="","",IF(ABS(G189)&gt;=$B$1,"Oui",""))</f>
        <v/>
      </c>
    </row>
    <row r="190">
      <c r="G190" s="3">
        <f>IF(A190="","",(C190-D190)-(E190-F190))</f>
        <v/>
      </c>
      <c r="H190" s="4">
        <f>IF(OR(A190="",(E190-F190)=0),"",G190/ABS(E190-F190))</f>
        <v/>
      </c>
      <c r="I190">
        <f>IF(A190="","",IF(ABS(G190)&gt;=$B$1,"Oui",""))</f>
        <v/>
      </c>
    </row>
    <row r="191">
      <c r="G191" s="3">
        <f>IF(A191="","",(C191-D191)-(E191-F191))</f>
        <v/>
      </c>
      <c r="H191" s="4">
        <f>IF(OR(A191="",(E191-F191)=0),"",G191/ABS(E191-F191))</f>
        <v/>
      </c>
      <c r="I191">
        <f>IF(A191="","",IF(ABS(G191)&gt;=$B$1,"Oui",""))</f>
        <v/>
      </c>
    </row>
    <row r="192">
      <c r="G192" s="3">
        <f>IF(A192="","",(C192-D192)-(E192-F192))</f>
        <v/>
      </c>
      <c r="H192" s="4">
        <f>IF(OR(A192="",(E192-F192)=0),"",G192/ABS(E192-F192))</f>
        <v/>
      </c>
      <c r="I192">
        <f>IF(A192="","",IF(ABS(G192)&gt;=$B$1,"Oui",""))</f>
        <v/>
      </c>
    </row>
    <row r="193">
      <c r="G193" s="3">
        <f>IF(A193="","",(C193-D193)-(E193-F193))</f>
        <v/>
      </c>
      <c r="H193" s="4">
        <f>IF(OR(A193="",(E193-F193)=0),"",G193/ABS(E193-F193))</f>
        <v/>
      </c>
      <c r="I193">
        <f>IF(A193="","",IF(ABS(G193)&gt;=$B$1,"Oui",""))</f>
        <v/>
      </c>
    </row>
    <row r="194">
      <c r="G194" s="3">
        <f>IF(A194="","",(C194-D194)-(E194-F194))</f>
        <v/>
      </c>
      <c r="H194" s="4">
        <f>IF(OR(A194="",(E194-F194)=0),"",G194/ABS(E194-F194))</f>
        <v/>
      </c>
      <c r="I194">
        <f>IF(A194="","",IF(ABS(G194)&gt;=$B$1,"Oui",""))</f>
        <v/>
      </c>
    </row>
    <row r="195">
      <c r="G195" s="3">
        <f>IF(A195="","",(C195-D195)-(E195-F195))</f>
        <v/>
      </c>
      <c r="H195" s="4">
        <f>IF(OR(A195="",(E195-F195)=0),"",G195/ABS(E195-F195))</f>
        <v/>
      </c>
      <c r="I195">
        <f>IF(A195="","",IF(ABS(G195)&gt;=$B$1,"Oui",""))</f>
        <v/>
      </c>
    </row>
    <row r="196">
      <c r="G196" s="3">
        <f>IF(A196="","",(C196-D196)-(E196-F196))</f>
        <v/>
      </c>
      <c r="H196" s="4">
        <f>IF(OR(A196="",(E196-F196)=0),"",G196/ABS(E196-F196))</f>
        <v/>
      </c>
      <c r="I196">
        <f>IF(A196="","",IF(ABS(G196)&gt;=$B$1,"Oui",""))</f>
        <v/>
      </c>
    </row>
    <row r="197">
      <c r="G197" s="3">
        <f>IF(A197="","",(C197-D197)-(E197-F197))</f>
        <v/>
      </c>
      <c r="H197" s="4">
        <f>IF(OR(A197="",(E197-F197)=0),"",G197/ABS(E197-F197))</f>
        <v/>
      </c>
      <c r="I197">
        <f>IF(A197="","",IF(ABS(G197)&gt;=$B$1,"Oui",""))</f>
        <v/>
      </c>
    </row>
    <row r="198">
      <c r="G198" s="3">
        <f>IF(A198="","",(C198-D198)-(E198-F198))</f>
        <v/>
      </c>
      <c r="H198" s="4">
        <f>IF(OR(A198="",(E198-F198)=0),"",G198/ABS(E198-F198))</f>
        <v/>
      </c>
      <c r="I198">
        <f>IF(A198="","",IF(ABS(G198)&gt;=$B$1,"Oui",""))</f>
        <v/>
      </c>
    </row>
    <row r="199">
      <c r="G199" s="3">
        <f>IF(A199="","",(C199-D199)-(E199-F199))</f>
        <v/>
      </c>
      <c r="H199" s="4">
        <f>IF(OR(A199="",(E199-F199)=0),"",G199/ABS(E199-F199))</f>
        <v/>
      </c>
      <c r="I199">
        <f>IF(A199="","",IF(ABS(G199)&gt;=$B$1,"Oui",""))</f>
        <v/>
      </c>
    </row>
    <row r="200">
      <c r="G200" s="3">
        <f>IF(A200="","",(C200-D200)-(E200-F200))</f>
        <v/>
      </c>
      <c r="H200" s="4">
        <f>IF(OR(A200="",(E200-F200)=0),"",G200/ABS(E200-F200))</f>
        <v/>
      </c>
      <c r="I200">
        <f>IF(A200="","",IF(ABS(G200)&gt;=$B$1,"Oui",""))</f>
        <v/>
      </c>
    </row>
    <row r="201">
      <c r="G201" s="3">
        <f>IF(A201="","",(C201-D201)-(E201-F201))</f>
        <v/>
      </c>
      <c r="H201" s="4">
        <f>IF(OR(A201="",(E201-F201)=0),"",G201/ABS(E201-F201))</f>
        <v/>
      </c>
      <c r="I201">
        <f>IF(A201="","",IF(ABS(G201)&gt;=$B$1,"Oui",""))</f>
        <v/>
      </c>
    </row>
    <row r="202">
      <c r="G202" s="3">
        <f>IF(A202="","",(C202-D202)-(E202-F202))</f>
        <v/>
      </c>
      <c r="H202" s="4">
        <f>IF(OR(A202="",(E202-F202)=0),"",G202/ABS(E202-F202))</f>
        <v/>
      </c>
      <c r="I202">
        <f>IF(A202="","",IF(ABS(G202)&gt;=$B$1,"Oui",""))</f>
        <v/>
      </c>
    </row>
    <row r="203">
      <c r="G203" s="3">
        <f>IF(A203="","",(C203-D203)-(E203-F203))</f>
        <v/>
      </c>
      <c r="H203" s="4">
        <f>IF(OR(A203="",(E203-F203)=0),"",G203/ABS(E203-F203))</f>
        <v/>
      </c>
      <c r="I203">
        <f>IF(A203="","",IF(ABS(G203)&gt;=$B$1,"Oui",""))</f>
        <v/>
      </c>
    </row>
    <row r="204">
      <c r="G204" s="3">
        <f>IF(A204="","",(C204-D204)-(E204-F204))</f>
        <v/>
      </c>
      <c r="H204" s="4">
        <f>IF(OR(A204="",(E204-F204)=0),"",G204/ABS(E204-F204))</f>
        <v/>
      </c>
      <c r="I204">
        <f>IF(A204="","",IF(ABS(G204)&gt;=$B$1,"Oui",""))</f>
        <v/>
      </c>
    </row>
    <row r="205">
      <c r="G205" s="3">
        <f>IF(A205="","",(C205-D205)-(E205-F205))</f>
        <v/>
      </c>
      <c r="H205" s="4">
        <f>IF(OR(A205="",(E205-F205)=0),"",G205/ABS(E205-F205))</f>
        <v/>
      </c>
      <c r="I205">
        <f>IF(A205="","",IF(ABS(G205)&gt;=$B$1,"Oui",""))</f>
        <v/>
      </c>
    </row>
    <row r="206">
      <c r="G206" s="3">
        <f>IF(A206="","",(C206-D206)-(E206-F206))</f>
        <v/>
      </c>
      <c r="H206" s="4">
        <f>IF(OR(A206="",(E206-F206)=0),"",G206/ABS(E206-F206))</f>
        <v/>
      </c>
      <c r="I206">
        <f>IF(A206="","",IF(ABS(G206)&gt;=$B$1,"Oui",""))</f>
        <v/>
      </c>
    </row>
    <row r="207">
      <c r="G207" s="3">
        <f>IF(A207="","",(C207-D207)-(E207-F207))</f>
        <v/>
      </c>
      <c r="H207" s="4">
        <f>IF(OR(A207="",(E207-F207)=0),"",G207/ABS(E207-F207))</f>
        <v/>
      </c>
      <c r="I207">
        <f>IF(A207="","",IF(ABS(G207)&gt;=$B$1,"Oui",""))</f>
        <v/>
      </c>
    </row>
    <row r="208">
      <c r="G208" s="3">
        <f>IF(A208="","",(C208-D208)-(E208-F208))</f>
        <v/>
      </c>
      <c r="H208" s="4">
        <f>IF(OR(A208="",(E208-F208)=0),"",G208/ABS(E208-F208))</f>
        <v/>
      </c>
      <c r="I208">
        <f>IF(A208="","",IF(ABS(G208)&gt;=$B$1,"Oui",""))</f>
        <v/>
      </c>
    </row>
    <row r="209">
      <c r="G209" s="3">
        <f>IF(A209="","",(C209-D209)-(E209-F209))</f>
        <v/>
      </c>
      <c r="H209" s="4">
        <f>IF(OR(A209="",(E209-F209)=0),"",G209/ABS(E209-F209))</f>
        <v/>
      </c>
      <c r="I209">
        <f>IF(A209="","",IF(ABS(G209)&gt;=$B$1,"Oui",""))</f>
        <v/>
      </c>
    </row>
    <row r="210">
      <c r="G210" s="3">
        <f>IF(A210="","",(C210-D210)-(E210-F210))</f>
        <v/>
      </c>
      <c r="H210" s="4">
        <f>IF(OR(A210="",(E210-F210)=0),"",G210/ABS(E210-F210))</f>
        <v/>
      </c>
      <c r="I210">
        <f>IF(A210="","",IF(ABS(G210)&gt;=$B$1,"Oui",""))</f>
        <v/>
      </c>
    </row>
    <row r="211">
      <c r="G211" s="3">
        <f>IF(A211="","",(C211-D211)-(E211-F211))</f>
        <v/>
      </c>
      <c r="H211" s="4">
        <f>IF(OR(A211="",(E211-F211)=0),"",G211/ABS(E211-F211))</f>
        <v/>
      </c>
      <c r="I211">
        <f>IF(A211="","",IF(ABS(G211)&gt;=$B$1,"Oui",""))</f>
        <v/>
      </c>
    </row>
    <row r="212">
      <c r="G212" s="3">
        <f>IF(A212="","",(C212-D212)-(E212-F212))</f>
        <v/>
      </c>
      <c r="H212" s="4">
        <f>IF(OR(A212="",(E212-F212)=0),"",G212/ABS(E212-F212))</f>
        <v/>
      </c>
      <c r="I212">
        <f>IF(A212="","",IF(ABS(G212)&gt;=$B$1,"Oui",""))</f>
        <v/>
      </c>
    </row>
    <row r="213">
      <c r="G213" s="3">
        <f>IF(A213="","",(C213-D213)-(E213-F213))</f>
        <v/>
      </c>
      <c r="H213" s="4">
        <f>IF(OR(A213="",(E213-F213)=0),"",G213/ABS(E213-F213))</f>
        <v/>
      </c>
      <c r="I213">
        <f>IF(A213="","",IF(ABS(G213)&gt;=$B$1,"Oui",""))</f>
        <v/>
      </c>
    </row>
    <row r="214">
      <c r="G214" s="3">
        <f>IF(A214="","",(C214-D214)-(E214-F214))</f>
        <v/>
      </c>
      <c r="H214" s="4">
        <f>IF(OR(A214="",(E214-F214)=0),"",G214/ABS(E214-F214))</f>
        <v/>
      </c>
      <c r="I214">
        <f>IF(A214="","",IF(ABS(G214)&gt;=$B$1,"Oui",""))</f>
        <v/>
      </c>
    </row>
    <row r="215">
      <c r="G215" s="3">
        <f>IF(A215="","",(C215-D215)-(E215-F215))</f>
        <v/>
      </c>
      <c r="H215" s="4">
        <f>IF(OR(A215="",(E215-F215)=0),"",G215/ABS(E215-F215))</f>
        <v/>
      </c>
      <c r="I215">
        <f>IF(A215="","",IF(ABS(G215)&gt;=$B$1,"Oui",""))</f>
        <v/>
      </c>
    </row>
    <row r="216">
      <c r="G216" s="3">
        <f>IF(A216="","",(C216-D216)-(E216-F216))</f>
        <v/>
      </c>
      <c r="H216" s="4">
        <f>IF(OR(A216="",(E216-F216)=0),"",G216/ABS(E216-F216))</f>
        <v/>
      </c>
      <c r="I216">
        <f>IF(A216="","",IF(ABS(G216)&gt;=$B$1,"Oui",""))</f>
        <v/>
      </c>
    </row>
    <row r="217">
      <c r="G217" s="3">
        <f>IF(A217="","",(C217-D217)-(E217-F217))</f>
        <v/>
      </c>
      <c r="H217" s="4">
        <f>IF(OR(A217="",(E217-F217)=0),"",G217/ABS(E217-F217))</f>
        <v/>
      </c>
      <c r="I217">
        <f>IF(A217="","",IF(ABS(G217)&gt;=$B$1,"Oui",""))</f>
        <v/>
      </c>
    </row>
    <row r="218">
      <c r="G218" s="3">
        <f>IF(A218="","",(C218-D218)-(E218-F218))</f>
        <v/>
      </c>
      <c r="H218" s="4">
        <f>IF(OR(A218="",(E218-F218)=0),"",G218/ABS(E218-F218))</f>
        <v/>
      </c>
      <c r="I218">
        <f>IF(A218="","",IF(ABS(G218)&gt;=$B$1,"Oui",""))</f>
        <v/>
      </c>
    </row>
    <row r="219">
      <c r="G219" s="3">
        <f>IF(A219="","",(C219-D219)-(E219-F219))</f>
        <v/>
      </c>
      <c r="H219" s="4">
        <f>IF(OR(A219="",(E219-F219)=0),"",G219/ABS(E219-F219))</f>
        <v/>
      </c>
      <c r="I219">
        <f>IF(A219="","",IF(ABS(G219)&gt;=$B$1,"Oui",""))</f>
        <v/>
      </c>
    </row>
    <row r="220">
      <c r="G220" s="3">
        <f>IF(A220="","",(C220-D220)-(E220-F220))</f>
        <v/>
      </c>
      <c r="H220" s="4">
        <f>IF(OR(A220="",(E220-F220)=0),"",G220/ABS(E220-F220))</f>
        <v/>
      </c>
      <c r="I220">
        <f>IF(A220="","",IF(ABS(G220)&gt;=$B$1,"Oui",""))</f>
        <v/>
      </c>
    </row>
    <row r="221">
      <c r="G221" s="3">
        <f>IF(A221="","",(C221-D221)-(E221-F221))</f>
        <v/>
      </c>
      <c r="H221" s="4">
        <f>IF(OR(A221="",(E221-F221)=0),"",G221/ABS(E221-F221))</f>
        <v/>
      </c>
      <c r="I221">
        <f>IF(A221="","",IF(ABS(G221)&gt;=$B$1,"Oui",""))</f>
        <v/>
      </c>
    </row>
    <row r="222">
      <c r="G222" s="3">
        <f>IF(A222="","",(C222-D222)-(E222-F222))</f>
        <v/>
      </c>
      <c r="H222" s="4">
        <f>IF(OR(A222="",(E222-F222)=0),"",G222/ABS(E222-F222))</f>
        <v/>
      </c>
      <c r="I222">
        <f>IF(A222="","",IF(ABS(G222)&gt;=$B$1,"Oui",""))</f>
        <v/>
      </c>
    </row>
    <row r="223">
      <c r="G223" s="3">
        <f>IF(A223="","",(C223-D223)-(E223-F223))</f>
        <v/>
      </c>
      <c r="H223" s="4">
        <f>IF(OR(A223="",(E223-F223)=0),"",G223/ABS(E223-F223))</f>
        <v/>
      </c>
      <c r="I223">
        <f>IF(A223="","",IF(ABS(G223)&gt;=$B$1,"Oui",""))</f>
        <v/>
      </c>
    </row>
    <row r="224">
      <c r="G224" s="3">
        <f>IF(A224="","",(C224-D224)-(E224-F224))</f>
        <v/>
      </c>
      <c r="H224" s="4">
        <f>IF(OR(A224="",(E224-F224)=0),"",G224/ABS(E224-F224))</f>
        <v/>
      </c>
      <c r="I224">
        <f>IF(A224="","",IF(ABS(G224)&gt;=$B$1,"Oui",""))</f>
        <v/>
      </c>
    </row>
    <row r="225">
      <c r="G225" s="3">
        <f>IF(A225="","",(C225-D225)-(E225-F225))</f>
        <v/>
      </c>
      <c r="H225" s="4">
        <f>IF(OR(A225="",(E225-F225)=0),"",G225/ABS(E225-F225))</f>
        <v/>
      </c>
      <c r="I225">
        <f>IF(A225="","",IF(ABS(G225)&gt;=$B$1,"Oui",""))</f>
        <v/>
      </c>
    </row>
    <row r="226">
      <c r="G226" s="3">
        <f>IF(A226="","",(C226-D226)-(E226-F226))</f>
        <v/>
      </c>
      <c r="H226" s="4">
        <f>IF(OR(A226="",(E226-F226)=0),"",G226/ABS(E226-F226))</f>
        <v/>
      </c>
      <c r="I226">
        <f>IF(A226="","",IF(ABS(G226)&gt;=$B$1,"Oui",""))</f>
        <v/>
      </c>
    </row>
    <row r="227">
      <c r="G227" s="3">
        <f>IF(A227="","",(C227-D227)-(E227-F227))</f>
        <v/>
      </c>
      <c r="H227" s="4">
        <f>IF(OR(A227="",(E227-F227)=0),"",G227/ABS(E227-F227))</f>
        <v/>
      </c>
      <c r="I227">
        <f>IF(A227="","",IF(ABS(G227)&gt;=$B$1,"Oui",""))</f>
        <v/>
      </c>
    </row>
    <row r="228">
      <c r="G228" s="3">
        <f>IF(A228="","",(C228-D228)-(E228-F228))</f>
        <v/>
      </c>
      <c r="H228" s="4">
        <f>IF(OR(A228="",(E228-F228)=0),"",G228/ABS(E228-F228))</f>
        <v/>
      </c>
      <c r="I228">
        <f>IF(A228="","",IF(ABS(G228)&gt;=$B$1,"Oui",""))</f>
        <v/>
      </c>
    </row>
    <row r="229">
      <c r="G229" s="3">
        <f>IF(A229="","",(C229-D229)-(E229-F229))</f>
        <v/>
      </c>
      <c r="H229" s="4">
        <f>IF(OR(A229="",(E229-F229)=0),"",G229/ABS(E229-F229))</f>
        <v/>
      </c>
      <c r="I229">
        <f>IF(A229="","",IF(ABS(G229)&gt;=$B$1,"Oui",""))</f>
        <v/>
      </c>
    </row>
    <row r="230">
      <c r="G230" s="3">
        <f>IF(A230="","",(C230-D230)-(E230-F230))</f>
        <v/>
      </c>
      <c r="H230" s="4">
        <f>IF(OR(A230="",(E230-F230)=0),"",G230/ABS(E230-F230))</f>
        <v/>
      </c>
      <c r="I230">
        <f>IF(A230="","",IF(ABS(G230)&gt;=$B$1,"Oui",""))</f>
        <v/>
      </c>
    </row>
    <row r="231">
      <c r="G231" s="3">
        <f>IF(A231="","",(C231-D231)-(E231-F231))</f>
        <v/>
      </c>
      <c r="H231" s="4">
        <f>IF(OR(A231="",(E231-F231)=0),"",G231/ABS(E231-F231))</f>
        <v/>
      </c>
      <c r="I231">
        <f>IF(A231="","",IF(ABS(G231)&gt;=$B$1,"Oui",""))</f>
        <v/>
      </c>
    </row>
    <row r="232">
      <c r="G232" s="3">
        <f>IF(A232="","",(C232-D232)-(E232-F232))</f>
        <v/>
      </c>
      <c r="H232" s="4">
        <f>IF(OR(A232="",(E232-F232)=0),"",G232/ABS(E232-F232))</f>
        <v/>
      </c>
      <c r="I232">
        <f>IF(A232="","",IF(ABS(G232)&gt;=$B$1,"Oui",""))</f>
        <v/>
      </c>
    </row>
    <row r="233">
      <c r="G233" s="3">
        <f>IF(A233="","",(C233-D233)-(E233-F233))</f>
        <v/>
      </c>
      <c r="H233" s="4">
        <f>IF(OR(A233="",(E233-F233)=0),"",G233/ABS(E233-F233))</f>
        <v/>
      </c>
      <c r="I233">
        <f>IF(A233="","",IF(ABS(G233)&gt;=$B$1,"Oui",""))</f>
        <v/>
      </c>
    </row>
    <row r="234">
      <c r="G234" s="3">
        <f>IF(A234="","",(C234-D234)-(E234-F234))</f>
        <v/>
      </c>
      <c r="H234" s="4">
        <f>IF(OR(A234="",(E234-F234)=0),"",G234/ABS(E234-F234))</f>
        <v/>
      </c>
      <c r="I234">
        <f>IF(A234="","",IF(ABS(G234)&gt;=$B$1,"Oui",""))</f>
        <v/>
      </c>
    </row>
    <row r="235">
      <c r="G235" s="3">
        <f>IF(A235="","",(C235-D235)-(E235-F235))</f>
        <v/>
      </c>
      <c r="H235" s="4">
        <f>IF(OR(A235="",(E235-F235)=0),"",G235/ABS(E235-F235))</f>
        <v/>
      </c>
      <c r="I235">
        <f>IF(A235="","",IF(ABS(G235)&gt;=$B$1,"Oui",""))</f>
        <v/>
      </c>
    </row>
    <row r="236">
      <c r="G236" s="3">
        <f>IF(A236="","",(C236-D236)-(E236-F236))</f>
        <v/>
      </c>
      <c r="H236" s="4">
        <f>IF(OR(A236="",(E236-F236)=0),"",G236/ABS(E236-F236))</f>
        <v/>
      </c>
      <c r="I236">
        <f>IF(A236="","",IF(ABS(G236)&gt;=$B$1,"Oui",""))</f>
        <v/>
      </c>
    </row>
    <row r="237">
      <c r="G237" s="3">
        <f>IF(A237="","",(C237-D237)-(E237-F237))</f>
        <v/>
      </c>
      <c r="H237" s="4">
        <f>IF(OR(A237="",(E237-F237)=0),"",G237/ABS(E237-F237))</f>
        <v/>
      </c>
      <c r="I237">
        <f>IF(A237="","",IF(ABS(G237)&gt;=$B$1,"Oui",""))</f>
        <v/>
      </c>
    </row>
    <row r="238">
      <c r="G238" s="3">
        <f>IF(A238="","",(C238-D238)-(E238-F238))</f>
        <v/>
      </c>
      <c r="H238" s="4">
        <f>IF(OR(A238="",(E238-F238)=0),"",G238/ABS(E238-F238))</f>
        <v/>
      </c>
      <c r="I238">
        <f>IF(A238="","",IF(ABS(G238)&gt;=$B$1,"Oui",""))</f>
        <v/>
      </c>
    </row>
    <row r="239">
      <c r="G239" s="3">
        <f>IF(A239="","",(C239-D239)-(E239-F239))</f>
        <v/>
      </c>
      <c r="H239" s="4">
        <f>IF(OR(A239="",(E239-F239)=0),"",G239/ABS(E239-F239))</f>
        <v/>
      </c>
      <c r="I239">
        <f>IF(A239="","",IF(ABS(G239)&gt;=$B$1,"Oui",""))</f>
        <v/>
      </c>
    </row>
    <row r="240">
      <c r="G240" s="3">
        <f>IF(A240="","",(C240-D240)-(E240-F240))</f>
        <v/>
      </c>
      <c r="H240" s="4">
        <f>IF(OR(A240="",(E240-F240)=0),"",G240/ABS(E240-F240))</f>
        <v/>
      </c>
      <c r="I240">
        <f>IF(A240="","",IF(ABS(G240)&gt;=$B$1,"Oui",""))</f>
        <v/>
      </c>
    </row>
    <row r="241">
      <c r="G241" s="3">
        <f>IF(A241="","",(C241-D241)-(E241-F241))</f>
        <v/>
      </c>
      <c r="H241" s="4">
        <f>IF(OR(A241="",(E241-F241)=0),"",G241/ABS(E241-F241))</f>
        <v/>
      </c>
      <c r="I241">
        <f>IF(A241="","",IF(ABS(G241)&gt;=$B$1,"Oui",""))</f>
        <v/>
      </c>
    </row>
    <row r="242">
      <c r="G242" s="3">
        <f>IF(A242="","",(C242-D242)-(E242-F242))</f>
        <v/>
      </c>
      <c r="H242" s="4">
        <f>IF(OR(A242="",(E242-F242)=0),"",G242/ABS(E242-F242))</f>
        <v/>
      </c>
      <c r="I242">
        <f>IF(A242="","",IF(ABS(G242)&gt;=$B$1,"Oui",""))</f>
        <v/>
      </c>
    </row>
    <row r="243">
      <c r="G243" s="3">
        <f>IF(A243="","",(C243-D243)-(E243-F243))</f>
        <v/>
      </c>
      <c r="H243" s="4">
        <f>IF(OR(A243="",(E243-F243)=0),"",G243/ABS(E243-F243))</f>
        <v/>
      </c>
      <c r="I243">
        <f>IF(A243="","",IF(ABS(G243)&gt;=$B$1,"Oui",""))</f>
        <v/>
      </c>
    </row>
    <row r="244">
      <c r="G244" s="3">
        <f>IF(A244="","",(C244-D244)-(E244-F244))</f>
        <v/>
      </c>
      <c r="H244" s="4">
        <f>IF(OR(A244="",(E244-F244)=0),"",G244/ABS(E244-F244))</f>
        <v/>
      </c>
      <c r="I244">
        <f>IF(A244="","",IF(ABS(G244)&gt;=$B$1,"Oui",""))</f>
        <v/>
      </c>
    </row>
    <row r="245">
      <c r="G245" s="3">
        <f>IF(A245="","",(C245-D245)-(E245-F245))</f>
        <v/>
      </c>
      <c r="H245" s="4">
        <f>IF(OR(A245="",(E245-F245)=0),"",G245/ABS(E245-F245))</f>
        <v/>
      </c>
      <c r="I245">
        <f>IF(A245="","",IF(ABS(G245)&gt;=$B$1,"Oui",""))</f>
        <v/>
      </c>
    </row>
    <row r="246">
      <c r="G246" s="3">
        <f>IF(A246="","",(C246-D246)-(E246-F246))</f>
        <v/>
      </c>
      <c r="H246" s="4">
        <f>IF(OR(A246="",(E246-F246)=0),"",G246/ABS(E246-F246))</f>
        <v/>
      </c>
      <c r="I246">
        <f>IF(A246="","",IF(ABS(G246)&gt;=$B$1,"Oui",""))</f>
        <v/>
      </c>
    </row>
    <row r="247">
      <c r="G247" s="3">
        <f>IF(A247="","",(C247-D247)-(E247-F247))</f>
        <v/>
      </c>
      <c r="H247" s="4">
        <f>IF(OR(A247="",(E247-F247)=0),"",G247/ABS(E247-F247))</f>
        <v/>
      </c>
      <c r="I247">
        <f>IF(A247="","",IF(ABS(G247)&gt;=$B$1,"Oui",""))</f>
        <v/>
      </c>
    </row>
    <row r="248">
      <c r="G248" s="3">
        <f>IF(A248="","",(C248-D248)-(E248-F248))</f>
        <v/>
      </c>
      <c r="H248" s="4">
        <f>IF(OR(A248="",(E248-F248)=0),"",G248/ABS(E248-F248))</f>
        <v/>
      </c>
      <c r="I248">
        <f>IF(A248="","",IF(ABS(G248)&gt;=$B$1,"Oui",""))</f>
        <v/>
      </c>
    </row>
    <row r="249">
      <c r="G249" s="3">
        <f>IF(A249="","",(C249-D249)-(E249-F249))</f>
        <v/>
      </c>
      <c r="H249" s="4">
        <f>IF(OR(A249="",(E249-F249)=0),"",G249/ABS(E249-F249))</f>
        <v/>
      </c>
      <c r="I249">
        <f>IF(A249="","",IF(ABS(G249)&gt;=$B$1,"Oui",""))</f>
        <v/>
      </c>
    </row>
    <row r="250">
      <c r="G250" s="3">
        <f>IF(A250="","",(C250-D250)-(E250-F250))</f>
        <v/>
      </c>
      <c r="H250" s="4">
        <f>IF(OR(A250="",(E250-F250)=0),"",G250/ABS(E250-F250))</f>
        <v/>
      </c>
      <c r="I250">
        <f>IF(A250="","",IF(ABS(G250)&gt;=$B$1,"Oui",""))</f>
        <v/>
      </c>
    </row>
    <row r="251">
      <c r="G251" s="3">
        <f>IF(A251="","",(C251-D251)-(E251-F251))</f>
        <v/>
      </c>
      <c r="H251" s="4">
        <f>IF(OR(A251="",(E251-F251)=0),"",G251/ABS(E251-F251))</f>
        <v/>
      </c>
      <c r="I251">
        <f>IF(A251="","",IF(ABS(G251)&gt;=$B$1,"Oui",""))</f>
        <v/>
      </c>
    </row>
    <row r="252">
      <c r="G252" s="3">
        <f>IF(A252="","",(C252-D252)-(E252-F252))</f>
        <v/>
      </c>
      <c r="H252" s="4">
        <f>IF(OR(A252="",(E252-F252)=0),"",G252/ABS(E252-F252))</f>
        <v/>
      </c>
      <c r="I252">
        <f>IF(A252="","",IF(ABS(G252)&gt;=$B$1,"Oui",""))</f>
        <v/>
      </c>
    </row>
    <row r="253">
      <c r="G253" s="3">
        <f>IF(A253="","",(C253-D253)-(E253-F253))</f>
        <v/>
      </c>
      <c r="H253" s="4">
        <f>IF(OR(A253="",(E253-F253)=0),"",G253/ABS(E253-F253))</f>
        <v/>
      </c>
      <c r="I253">
        <f>IF(A253="","",IF(ABS(G253)&gt;=$B$1,"Oui",""))</f>
        <v/>
      </c>
    </row>
    <row r="254">
      <c r="G254" s="3">
        <f>IF(A254="","",(C254-D254)-(E254-F254))</f>
        <v/>
      </c>
      <c r="H254" s="4">
        <f>IF(OR(A254="",(E254-F254)=0),"",G254/ABS(E254-F254))</f>
        <v/>
      </c>
      <c r="I254">
        <f>IF(A254="","",IF(ABS(G254)&gt;=$B$1,"Oui",""))</f>
        <v/>
      </c>
    </row>
    <row r="255">
      <c r="G255" s="3">
        <f>IF(A255="","",(C255-D255)-(E255-F255))</f>
        <v/>
      </c>
      <c r="H255" s="4">
        <f>IF(OR(A255="",(E255-F255)=0),"",G255/ABS(E255-F255))</f>
        <v/>
      </c>
      <c r="I255">
        <f>IF(A255="","",IF(ABS(G255)&gt;=$B$1,"Oui",""))</f>
        <v/>
      </c>
    </row>
    <row r="256">
      <c r="G256" s="3">
        <f>IF(A256="","",(C256-D256)-(E256-F256))</f>
        <v/>
      </c>
      <c r="H256" s="4">
        <f>IF(OR(A256="",(E256-F256)=0),"",G256/ABS(E256-F256))</f>
        <v/>
      </c>
      <c r="I256">
        <f>IF(A256="","",IF(ABS(G256)&gt;=$B$1,"Oui",""))</f>
        <v/>
      </c>
    </row>
    <row r="257">
      <c r="G257" s="3">
        <f>IF(A257="","",(C257-D257)-(E257-F257))</f>
        <v/>
      </c>
      <c r="H257" s="4">
        <f>IF(OR(A257="",(E257-F257)=0),"",G257/ABS(E257-F257))</f>
        <v/>
      </c>
      <c r="I257">
        <f>IF(A257="","",IF(ABS(G257)&gt;=$B$1,"Oui",""))</f>
        <v/>
      </c>
    </row>
    <row r="258">
      <c r="G258" s="3">
        <f>IF(A258="","",(C258-D258)-(E258-F258))</f>
        <v/>
      </c>
      <c r="H258" s="4">
        <f>IF(OR(A258="",(E258-F258)=0),"",G258/ABS(E258-F258))</f>
        <v/>
      </c>
      <c r="I258">
        <f>IF(A258="","",IF(ABS(G258)&gt;=$B$1,"Oui",""))</f>
        <v/>
      </c>
    </row>
    <row r="259">
      <c r="G259" s="3">
        <f>IF(A259="","",(C259-D259)-(E259-F259))</f>
        <v/>
      </c>
      <c r="H259" s="4">
        <f>IF(OR(A259="",(E259-F259)=0),"",G259/ABS(E259-F259))</f>
        <v/>
      </c>
      <c r="I259">
        <f>IF(A259="","",IF(ABS(G259)&gt;=$B$1,"Oui",""))</f>
        <v/>
      </c>
    </row>
    <row r="260">
      <c r="G260" s="3">
        <f>IF(A260="","",(C260-D260)-(E260-F260))</f>
        <v/>
      </c>
      <c r="H260" s="4">
        <f>IF(OR(A260="",(E260-F260)=0),"",G260/ABS(E260-F260))</f>
        <v/>
      </c>
      <c r="I260">
        <f>IF(A260="","",IF(ABS(G260)&gt;=$B$1,"Oui",""))</f>
        <v/>
      </c>
    </row>
    <row r="261">
      <c r="G261" s="3">
        <f>IF(A261="","",(C261-D261)-(E261-F261))</f>
        <v/>
      </c>
      <c r="H261" s="4">
        <f>IF(OR(A261="",(E261-F261)=0),"",G261/ABS(E261-F261))</f>
        <v/>
      </c>
      <c r="I261">
        <f>IF(A261="","",IF(ABS(G261)&gt;=$B$1,"Oui",""))</f>
        <v/>
      </c>
    </row>
    <row r="262">
      <c r="G262" s="3">
        <f>IF(A262="","",(C262-D262)-(E262-F262))</f>
        <v/>
      </c>
      <c r="H262" s="4">
        <f>IF(OR(A262="",(E262-F262)=0),"",G262/ABS(E262-F262))</f>
        <v/>
      </c>
      <c r="I262">
        <f>IF(A262="","",IF(ABS(G262)&gt;=$B$1,"Oui",""))</f>
        <v/>
      </c>
    </row>
    <row r="263">
      <c r="G263" s="3">
        <f>IF(A263="","",(C263-D263)-(E263-F263))</f>
        <v/>
      </c>
      <c r="H263" s="4">
        <f>IF(OR(A263="",(E263-F263)=0),"",G263/ABS(E263-F263))</f>
        <v/>
      </c>
      <c r="I263">
        <f>IF(A263="","",IF(ABS(G263)&gt;=$B$1,"Oui",""))</f>
        <v/>
      </c>
    </row>
    <row r="264">
      <c r="G264" s="3">
        <f>IF(A264="","",(C264-D264)-(E264-F264))</f>
        <v/>
      </c>
      <c r="H264" s="4">
        <f>IF(OR(A264="",(E264-F264)=0),"",G264/ABS(E264-F264))</f>
        <v/>
      </c>
      <c r="I264">
        <f>IF(A264="","",IF(ABS(G264)&gt;=$B$1,"Oui",""))</f>
        <v/>
      </c>
    </row>
    <row r="265">
      <c r="G265" s="3">
        <f>IF(A265="","",(C265-D265)-(E265-F265))</f>
        <v/>
      </c>
      <c r="H265" s="4">
        <f>IF(OR(A265="",(E265-F265)=0),"",G265/ABS(E265-F265))</f>
        <v/>
      </c>
      <c r="I265">
        <f>IF(A265="","",IF(ABS(G265)&gt;=$B$1,"Oui",""))</f>
        <v/>
      </c>
    </row>
    <row r="266">
      <c r="G266" s="3">
        <f>IF(A266="","",(C266-D266)-(E266-F266))</f>
        <v/>
      </c>
      <c r="H266" s="4">
        <f>IF(OR(A266="",(E266-F266)=0),"",G266/ABS(E266-F266))</f>
        <v/>
      </c>
      <c r="I266">
        <f>IF(A266="","",IF(ABS(G266)&gt;=$B$1,"Oui",""))</f>
        <v/>
      </c>
    </row>
    <row r="267">
      <c r="G267" s="3">
        <f>IF(A267="","",(C267-D267)-(E267-F267))</f>
        <v/>
      </c>
      <c r="H267" s="4">
        <f>IF(OR(A267="",(E267-F267)=0),"",G267/ABS(E267-F267))</f>
        <v/>
      </c>
      <c r="I267">
        <f>IF(A267="","",IF(ABS(G267)&gt;=$B$1,"Oui",""))</f>
        <v/>
      </c>
    </row>
    <row r="268">
      <c r="G268" s="3">
        <f>IF(A268="","",(C268-D268)-(E268-F268))</f>
        <v/>
      </c>
      <c r="H268" s="4">
        <f>IF(OR(A268="",(E268-F268)=0),"",G268/ABS(E268-F268))</f>
        <v/>
      </c>
      <c r="I268">
        <f>IF(A268="","",IF(ABS(G268)&gt;=$B$1,"Oui",""))</f>
        <v/>
      </c>
    </row>
    <row r="269">
      <c r="G269" s="3">
        <f>IF(A269="","",(C269-D269)-(E269-F269))</f>
        <v/>
      </c>
      <c r="H269" s="4">
        <f>IF(OR(A269="",(E269-F269)=0),"",G269/ABS(E269-F269))</f>
        <v/>
      </c>
      <c r="I269">
        <f>IF(A269="","",IF(ABS(G269)&gt;=$B$1,"Oui",""))</f>
        <v/>
      </c>
    </row>
    <row r="270">
      <c r="G270" s="3">
        <f>IF(A270="","",(C270-D270)-(E270-F270))</f>
        <v/>
      </c>
      <c r="H270" s="4">
        <f>IF(OR(A270="",(E270-F270)=0),"",G270/ABS(E270-F270))</f>
        <v/>
      </c>
      <c r="I270">
        <f>IF(A270="","",IF(ABS(G270)&gt;=$B$1,"Oui",""))</f>
        <v/>
      </c>
    </row>
    <row r="271">
      <c r="G271" s="3">
        <f>IF(A271="","",(C271-D271)-(E271-F271))</f>
        <v/>
      </c>
      <c r="H271" s="4">
        <f>IF(OR(A271="",(E271-F271)=0),"",G271/ABS(E271-F271))</f>
        <v/>
      </c>
      <c r="I271">
        <f>IF(A271="","",IF(ABS(G271)&gt;=$B$1,"Oui",""))</f>
        <v/>
      </c>
    </row>
    <row r="272">
      <c r="G272" s="3">
        <f>IF(A272="","",(C272-D272)-(E272-F272))</f>
        <v/>
      </c>
      <c r="H272" s="4">
        <f>IF(OR(A272="",(E272-F272)=0),"",G272/ABS(E272-F272))</f>
        <v/>
      </c>
      <c r="I272">
        <f>IF(A272="","",IF(ABS(G272)&gt;=$B$1,"Oui",""))</f>
        <v/>
      </c>
    </row>
    <row r="273">
      <c r="G273" s="3">
        <f>IF(A273="","",(C273-D273)-(E273-F273))</f>
        <v/>
      </c>
      <c r="H273" s="4">
        <f>IF(OR(A273="",(E273-F273)=0),"",G273/ABS(E273-F273))</f>
        <v/>
      </c>
      <c r="I273">
        <f>IF(A273="","",IF(ABS(G273)&gt;=$B$1,"Oui",""))</f>
        <v/>
      </c>
    </row>
    <row r="274">
      <c r="G274" s="3">
        <f>IF(A274="","",(C274-D274)-(E274-F274))</f>
        <v/>
      </c>
      <c r="H274" s="4">
        <f>IF(OR(A274="",(E274-F274)=0),"",G274/ABS(E274-F274))</f>
        <v/>
      </c>
      <c r="I274">
        <f>IF(A274="","",IF(ABS(G274)&gt;=$B$1,"Oui",""))</f>
        <v/>
      </c>
    </row>
    <row r="275">
      <c r="G275" s="3">
        <f>IF(A275="","",(C275-D275)-(E275-F275))</f>
        <v/>
      </c>
      <c r="H275" s="4">
        <f>IF(OR(A275="",(E275-F275)=0),"",G275/ABS(E275-F275))</f>
        <v/>
      </c>
      <c r="I275">
        <f>IF(A275="","",IF(ABS(G275)&gt;=$B$1,"Oui",""))</f>
        <v/>
      </c>
    </row>
    <row r="276">
      <c r="G276" s="3">
        <f>IF(A276="","",(C276-D276)-(E276-F276))</f>
        <v/>
      </c>
      <c r="H276" s="4">
        <f>IF(OR(A276="",(E276-F276)=0),"",G276/ABS(E276-F276))</f>
        <v/>
      </c>
      <c r="I276">
        <f>IF(A276="","",IF(ABS(G276)&gt;=$B$1,"Oui",""))</f>
        <v/>
      </c>
    </row>
    <row r="277">
      <c r="G277" s="3">
        <f>IF(A277="","",(C277-D277)-(E277-F277))</f>
        <v/>
      </c>
      <c r="H277" s="4">
        <f>IF(OR(A277="",(E277-F277)=0),"",G277/ABS(E277-F277))</f>
        <v/>
      </c>
      <c r="I277">
        <f>IF(A277="","",IF(ABS(G277)&gt;=$B$1,"Oui",""))</f>
        <v/>
      </c>
    </row>
    <row r="278">
      <c r="G278" s="3">
        <f>IF(A278="","",(C278-D278)-(E278-F278))</f>
        <v/>
      </c>
      <c r="H278" s="4">
        <f>IF(OR(A278="",(E278-F278)=0),"",G278/ABS(E278-F278))</f>
        <v/>
      </c>
      <c r="I278">
        <f>IF(A278="","",IF(ABS(G278)&gt;=$B$1,"Oui",""))</f>
        <v/>
      </c>
    </row>
    <row r="279">
      <c r="G279" s="3">
        <f>IF(A279="","",(C279-D279)-(E279-F279))</f>
        <v/>
      </c>
      <c r="H279" s="4">
        <f>IF(OR(A279="",(E279-F279)=0),"",G279/ABS(E279-F279))</f>
        <v/>
      </c>
      <c r="I279">
        <f>IF(A279="","",IF(ABS(G279)&gt;=$B$1,"Oui",""))</f>
        <v/>
      </c>
    </row>
    <row r="280">
      <c r="G280" s="3">
        <f>IF(A280="","",(C280-D280)-(E280-F280))</f>
        <v/>
      </c>
      <c r="H280" s="4">
        <f>IF(OR(A280="",(E280-F280)=0),"",G280/ABS(E280-F280))</f>
        <v/>
      </c>
      <c r="I280">
        <f>IF(A280="","",IF(ABS(G280)&gt;=$B$1,"Oui",""))</f>
        <v/>
      </c>
    </row>
    <row r="281">
      <c r="G281" s="3">
        <f>IF(A281="","",(C281-D281)-(E281-F281))</f>
        <v/>
      </c>
      <c r="H281" s="4">
        <f>IF(OR(A281="",(E281-F281)=0),"",G281/ABS(E281-F281))</f>
        <v/>
      </c>
      <c r="I281">
        <f>IF(A281="","",IF(ABS(G281)&gt;=$B$1,"Oui",""))</f>
        <v/>
      </c>
    </row>
    <row r="282">
      <c r="G282" s="3">
        <f>IF(A282="","",(C282-D282)-(E282-F282))</f>
        <v/>
      </c>
      <c r="H282" s="4">
        <f>IF(OR(A282="",(E282-F282)=0),"",G282/ABS(E282-F282))</f>
        <v/>
      </c>
      <c r="I282">
        <f>IF(A282="","",IF(ABS(G282)&gt;=$B$1,"Oui",""))</f>
        <v/>
      </c>
    </row>
    <row r="283">
      <c r="G283" s="3">
        <f>IF(A283="","",(C283-D283)-(E283-F283))</f>
        <v/>
      </c>
      <c r="H283" s="4">
        <f>IF(OR(A283="",(E283-F283)=0),"",G283/ABS(E283-F283))</f>
        <v/>
      </c>
      <c r="I283">
        <f>IF(A283="","",IF(ABS(G283)&gt;=$B$1,"Oui",""))</f>
        <v/>
      </c>
    </row>
    <row r="284">
      <c r="G284" s="3">
        <f>IF(A284="","",(C284-D284)-(E284-F284))</f>
        <v/>
      </c>
      <c r="H284" s="4">
        <f>IF(OR(A284="",(E284-F284)=0),"",G284/ABS(E284-F284))</f>
        <v/>
      </c>
      <c r="I284">
        <f>IF(A284="","",IF(ABS(G284)&gt;=$B$1,"Oui",""))</f>
        <v/>
      </c>
    </row>
    <row r="285">
      <c r="G285" s="3">
        <f>IF(A285="","",(C285-D285)-(E285-F285))</f>
        <v/>
      </c>
      <c r="H285" s="4">
        <f>IF(OR(A285="",(E285-F285)=0),"",G285/ABS(E285-F285))</f>
        <v/>
      </c>
      <c r="I285">
        <f>IF(A285="","",IF(ABS(G285)&gt;=$B$1,"Oui",""))</f>
        <v/>
      </c>
    </row>
    <row r="286">
      <c r="G286" s="3">
        <f>IF(A286="","",(C286-D286)-(E286-F286))</f>
        <v/>
      </c>
      <c r="H286" s="4">
        <f>IF(OR(A286="",(E286-F286)=0),"",G286/ABS(E286-F286))</f>
        <v/>
      </c>
      <c r="I286">
        <f>IF(A286="","",IF(ABS(G286)&gt;=$B$1,"Oui",""))</f>
        <v/>
      </c>
    </row>
    <row r="287">
      <c r="G287" s="3">
        <f>IF(A287="","",(C287-D287)-(E287-F287))</f>
        <v/>
      </c>
      <c r="H287" s="4">
        <f>IF(OR(A287="",(E287-F287)=0),"",G287/ABS(E287-F287))</f>
        <v/>
      </c>
      <c r="I287">
        <f>IF(A287="","",IF(ABS(G287)&gt;=$B$1,"Oui",""))</f>
        <v/>
      </c>
    </row>
    <row r="288">
      <c r="G288" s="3">
        <f>IF(A288="","",(C288-D288)-(E288-F288))</f>
        <v/>
      </c>
      <c r="H288" s="4">
        <f>IF(OR(A288="",(E288-F288)=0),"",G288/ABS(E288-F288))</f>
        <v/>
      </c>
      <c r="I288">
        <f>IF(A288="","",IF(ABS(G288)&gt;=$B$1,"Oui",""))</f>
        <v/>
      </c>
    </row>
    <row r="289">
      <c r="G289" s="3">
        <f>IF(A289="","",(C289-D289)-(E289-F289))</f>
        <v/>
      </c>
      <c r="H289" s="4">
        <f>IF(OR(A289="",(E289-F289)=0),"",G289/ABS(E289-F289))</f>
        <v/>
      </c>
      <c r="I289">
        <f>IF(A289="","",IF(ABS(G289)&gt;=$B$1,"Oui",""))</f>
        <v/>
      </c>
    </row>
    <row r="290">
      <c r="G290" s="3">
        <f>IF(A290="","",(C290-D290)-(E290-F290))</f>
        <v/>
      </c>
      <c r="H290" s="4">
        <f>IF(OR(A290="",(E290-F290)=0),"",G290/ABS(E290-F290))</f>
        <v/>
      </c>
      <c r="I290">
        <f>IF(A290="","",IF(ABS(G290)&gt;=$B$1,"Oui",""))</f>
        <v/>
      </c>
    </row>
    <row r="291">
      <c r="G291" s="3">
        <f>IF(A291="","",(C291-D291)-(E291-F291))</f>
        <v/>
      </c>
      <c r="H291" s="4">
        <f>IF(OR(A291="",(E291-F291)=0),"",G291/ABS(E291-F291))</f>
        <v/>
      </c>
      <c r="I291">
        <f>IF(A291="","",IF(ABS(G291)&gt;=$B$1,"Oui",""))</f>
        <v/>
      </c>
    </row>
    <row r="292">
      <c r="G292" s="3">
        <f>IF(A292="","",(C292-D292)-(E292-F292))</f>
        <v/>
      </c>
      <c r="H292" s="4">
        <f>IF(OR(A292="",(E292-F292)=0),"",G292/ABS(E292-F292))</f>
        <v/>
      </c>
      <c r="I292">
        <f>IF(A292="","",IF(ABS(G292)&gt;=$B$1,"Oui",""))</f>
        <v/>
      </c>
    </row>
    <row r="293">
      <c r="G293" s="3">
        <f>IF(A293="","",(C293-D293)-(E293-F293))</f>
        <v/>
      </c>
      <c r="H293" s="4">
        <f>IF(OR(A293="",(E293-F293)=0),"",G293/ABS(E293-F293))</f>
        <v/>
      </c>
      <c r="I293">
        <f>IF(A293="","",IF(ABS(G293)&gt;=$B$1,"Oui",""))</f>
        <v/>
      </c>
    </row>
    <row r="294">
      <c r="G294" s="3">
        <f>IF(A294="","",(C294-D294)-(E294-F294))</f>
        <v/>
      </c>
      <c r="H294" s="4">
        <f>IF(OR(A294="",(E294-F294)=0),"",G294/ABS(E294-F294))</f>
        <v/>
      </c>
      <c r="I294">
        <f>IF(A294="","",IF(ABS(G294)&gt;=$B$1,"Oui",""))</f>
        <v/>
      </c>
    </row>
    <row r="295">
      <c r="G295" s="3">
        <f>IF(A295="","",(C295-D295)-(E295-F295))</f>
        <v/>
      </c>
      <c r="H295" s="4">
        <f>IF(OR(A295="",(E295-F295)=0),"",G295/ABS(E295-F295))</f>
        <v/>
      </c>
      <c r="I295">
        <f>IF(A295="","",IF(ABS(G295)&gt;=$B$1,"Oui",""))</f>
        <v/>
      </c>
    </row>
    <row r="296">
      <c r="G296" s="3">
        <f>IF(A296="","",(C296-D296)-(E296-F296))</f>
        <v/>
      </c>
      <c r="H296" s="4">
        <f>IF(OR(A296="",(E296-F296)=0),"",G296/ABS(E296-F296))</f>
        <v/>
      </c>
      <c r="I296">
        <f>IF(A296="","",IF(ABS(G296)&gt;=$B$1,"Oui",""))</f>
        <v/>
      </c>
    </row>
    <row r="297">
      <c r="G297" s="3">
        <f>IF(A297="","",(C297-D297)-(E297-F297))</f>
        <v/>
      </c>
      <c r="H297" s="4">
        <f>IF(OR(A297="",(E297-F297)=0),"",G297/ABS(E297-F297))</f>
        <v/>
      </c>
      <c r="I297">
        <f>IF(A297="","",IF(ABS(G297)&gt;=$B$1,"Oui",""))</f>
        <v/>
      </c>
    </row>
    <row r="298">
      <c r="G298" s="3">
        <f>IF(A298="","",(C298-D298)-(E298-F298))</f>
        <v/>
      </c>
      <c r="H298" s="4">
        <f>IF(OR(A298="",(E298-F298)=0),"",G298/ABS(E298-F298))</f>
        <v/>
      </c>
      <c r="I298">
        <f>IF(A298="","",IF(ABS(G298)&gt;=$B$1,"Oui",""))</f>
        <v/>
      </c>
    </row>
    <row r="299">
      <c r="G299" s="3">
        <f>IF(A299="","",(C299-D299)-(E299-F299))</f>
        <v/>
      </c>
      <c r="H299" s="4">
        <f>IF(OR(A299="",(E299-F299)=0),"",G299/ABS(E299-F299))</f>
        <v/>
      </c>
      <c r="I299">
        <f>IF(A299="","",IF(ABS(G299)&gt;=$B$1,"Oui",""))</f>
        <v/>
      </c>
    </row>
    <row r="300">
      <c r="G300" s="3">
        <f>IF(A300="","",(C300-D300)-(E300-F300))</f>
        <v/>
      </c>
      <c r="H300" s="4">
        <f>IF(OR(A300="",(E300-F300)=0),"",G300/ABS(E300-F300))</f>
        <v/>
      </c>
      <c r="I300">
        <f>IF(A300="","",IF(ABS(G300)&gt;=$B$1,"Oui",""))</f>
        <v/>
      </c>
    </row>
    <row r="301">
      <c r="G301" s="3">
        <f>IF(A301="","",(C301-D301)-(E301-F301))</f>
        <v/>
      </c>
      <c r="H301" s="4">
        <f>IF(OR(A301="",(E301-F301)=0),"",G301/ABS(E301-F301))</f>
        <v/>
      </c>
      <c r="I301">
        <f>IF(A301="","",IF(ABS(G301)&gt;=$B$1,"Oui",""))</f>
        <v/>
      </c>
    </row>
    <row r="302">
      <c r="G302" s="3">
        <f>IF(A302="","",(C302-D302)-(E302-F302))</f>
        <v/>
      </c>
      <c r="H302" s="4">
        <f>IF(OR(A302="",(E302-F302)=0),"",G302/ABS(E302-F302))</f>
        <v/>
      </c>
      <c r="I302">
        <f>IF(A302="","",IF(ABS(G302)&gt;=$B$1,"Oui",""))</f>
        <v/>
      </c>
    </row>
    <row r="303">
      <c r="G303" s="3">
        <f>IF(A303="","",(C303-D303)-(E303-F303))</f>
        <v/>
      </c>
      <c r="H303" s="4">
        <f>IF(OR(A303="",(E303-F303)=0),"",G303/ABS(E303-F303))</f>
        <v/>
      </c>
      <c r="I303">
        <f>IF(A303="","",IF(ABS(G303)&gt;=$B$1,"Oui",""))</f>
        <v/>
      </c>
    </row>
    <row r="304">
      <c r="G304" s="3">
        <f>IF(A304="","",(C304-D304)-(E304-F304))</f>
        <v/>
      </c>
      <c r="H304" s="4">
        <f>IF(OR(A304="",(E304-F304)=0),"",G304/ABS(E304-F304))</f>
        <v/>
      </c>
      <c r="I304">
        <f>IF(A304="","",IF(ABS(G304)&gt;=$B$1,"Oui",""))</f>
        <v/>
      </c>
    </row>
  </sheetData>
  <autoFilter ref="A4:I304"/>
  <conditionalFormatting sqref="A5:I304">
    <cfRule type="expression" priority="1" dxfId="0">
      <formula>$I5="Oui"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Saisissez votre seuil de signification en B1 et le nom du dossier en B2.</t>
        </is>
      </c>
    </row>
    <row r="2">
      <c r="A2" t="inlineStr">
        <is>
          <t>2. Collez la balance anonymisée à partir de la ligne 5 (compte, libellé, débit et crédit N, débit et crédit N-1).</t>
        </is>
      </c>
    </row>
    <row r="3">
      <c r="A3" t="inlineStr">
        <is>
          <t>3. Filtrez la colonne « À creuser » sur « Oui », puis triez la colonne Écart (€).</t>
        </is>
      </c>
    </row>
    <row r="4">
      <c r="A4" t="inlineStr">
        <is>
          <t>4. Recalculez à la main deux écarts au hasard avant de vous fier au tableau.</t>
        </is>
      </c>
    </row>
    <row r="5">
      <c r="A5" t="inlineStr">
        <is>
          <t>Aucune donnée n'est envoyée à une IA : tout se calcule dans votre tableur.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2026-10-19T18:33:20Z</dcterms:created>
  <dcterms:modified xmlns:dcterms="http://purl.org/dc/terms/" xmlns:xsi="http://www.w3.org/2001/XMLSchema-instance" xsi:type="dcterms:W3CDTF">2026-10-19T18:33:20Z</dcterms:modified>
</cp:coreProperties>
</file>